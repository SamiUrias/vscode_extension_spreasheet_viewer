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a" sheetId="1" state="visible" r:id="rId1"/>
    <sheet name="Datos" sheetId="2" state="visible" r:id="rId2"/>
    <sheet name="Calculos" sheetId="3" state="visible" r:id="rId3"/>
    <sheet name="Texto_Fecha" sheetId="4" state="visible" r:id="rId4"/>
    <sheet name="Busquedas" sheetId="5" state="visible" r:id="rId5"/>
    <sheet name="Validaciones" sheetId="6" state="visible" r:id="rId6"/>
    <sheet name="Matrices" sheetId="7" state="visible" r:id="rId7"/>
  </sheets>
  <definedNames>
    <definedName name="_xlnm._FilterDatabase" localSheetId="1" hidden="1">'Datos'!$A$1:$K$51</definedName>
    <definedName name="_xlnm._FilterDatabase" localSheetId="2" hidden="1">'Calculos'!$A$1:$U$51</definedName>
    <definedName name="_xlnm._FilterDatabase" localSheetId="3" hidden="1">'Texto_Fecha'!$A$1:$X$51</definedName>
    <definedName name="_xlnm._FilterDatabase" localSheetId="4" hidden="1">'Busquedas'!$A$1:$Q$52</definedName>
    <definedName name="_xlnm._FilterDatabase" localSheetId="5" hidden="1">'Validaciones'!$A$1:$F$51</definedName>
    <definedName name="_xlnm._FilterDatabase" localSheetId="6" hidden="1">'Matrices'!$A$1:$C$19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B4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Libro de pruebas de fórmulas Excel</t>
        </is>
      </c>
    </row>
    <row r="2">
      <c r="A2" t="inlineStr">
        <is>
          <t>Hojas</t>
        </is>
      </c>
      <c r="B2" t="inlineStr">
        <is>
          <t>Datos, Calculos, Texto_Fecha, Busquedas, Validaciones, Matrices</t>
        </is>
      </c>
    </row>
    <row r="3">
      <c r="A3" t="inlineStr">
        <is>
          <t>Contenido</t>
        </is>
      </c>
      <c r="B3" t="inlineStr">
        <is>
          <t>Más de 300 fórmulas; expresiones Excel en inglés.</t>
        </is>
      </c>
    </row>
    <row r="4">
      <c r="A4" t="inlineStr">
        <is>
          <t>Nota</t>
        </is>
      </c>
      <c r="B4" t="inlineStr">
        <is>
          <t>Algunas bibliotecas leen fórmulas pero no las calculan; Excel o LibreOffice puede recalcular al abrir.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K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9" customWidth="1" min="11" max="11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Departamento</t>
        </is>
      </c>
      <c r="E1" s="1" t="inlineStr">
        <is>
          <t>Ciudad</t>
        </is>
      </c>
      <c r="F1" s="1" t="inlineStr">
        <is>
          <t>Unidades</t>
        </is>
      </c>
      <c r="G1" s="1" t="inlineStr">
        <is>
          <t>Precio</t>
        </is>
      </c>
      <c r="H1" s="1" t="inlineStr">
        <is>
          <t>Descuento</t>
        </is>
      </c>
      <c r="I1" s="1" t="inlineStr">
        <is>
          <t>Fecha</t>
        </is>
      </c>
      <c r="J1" s="1" t="inlineStr">
        <is>
          <t>Estado</t>
        </is>
      </c>
      <c r="K1" s="1" t="inlineStr">
        <is>
          <t>Correo</t>
        </is>
      </c>
    </row>
    <row r="2">
      <c r="A2" t="n">
        <v>1001</v>
      </c>
      <c r="B2" t="inlineStr">
        <is>
          <t>Ana</t>
        </is>
      </c>
      <c r="C2" t="inlineStr">
        <is>
          <t>López</t>
        </is>
      </c>
      <c r="D2" t="inlineStr">
        <is>
          <t>Ventas</t>
        </is>
      </c>
      <c r="E2" t="inlineStr">
        <is>
          <t>Guatemala</t>
        </is>
      </c>
      <c r="F2" t="n">
        <v>8</v>
      </c>
      <c r="G2" s="2" t="n">
        <v>21.25</v>
      </c>
      <c r="H2" s="3" t="n">
        <v>0.05</v>
      </c>
      <c r="I2" s="4" t="n">
        <v>46026</v>
      </c>
      <c r="J2" t="inlineStr">
        <is>
          <t>Cerrado</t>
        </is>
      </c>
      <c r="K2" t="inlineStr">
        <is>
          <t>ana.lópez@ejemplo.com</t>
        </is>
      </c>
    </row>
    <row r="3">
      <c r="A3" t="n">
        <v>1002</v>
      </c>
      <c r="B3" t="inlineStr">
        <is>
          <t>Luis</t>
        </is>
      </c>
      <c r="C3" t="inlineStr">
        <is>
          <t>Méndez</t>
        </is>
      </c>
      <c r="D3" t="inlineStr">
        <is>
          <t>Soporte</t>
        </is>
      </c>
      <c r="E3" t="inlineStr">
        <is>
          <t>Antigua</t>
        </is>
      </c>
      <c r="F3" t="n">
        <v>15</v>
      </c>
      <c r="G3" s="2" t="n">
        <v>30</v>
      </c>
      <c r="H3" s="3" t="n">
        <v>0.1</v>
      </c>
      <c r="I3" s="4" t="n">
        <v>46029</v>
      </c>
      <c r="J3" t="inlineStr">
        <is>
          <t>Pendiente</t>
        </is>
      </c>
      <c r="K3" t="inlineStr">
        <is>
          <t>luis.méndez@ejemplo.com</t>
        </is>
      </c>
    </row>
    <row r="4">
      <c r="A4" t="n">
        <v>1003</v>
      </c>
      <c r="B4" t="inlineStr">
        <is>
          <t>Marta</t>
        </is>
      </c>
      <c r="C4" t="inlineStr">
        <is>
          <t>García</t>
        </is>
      </c>
      <c r="D4" t="inlineStr">
        <is>
          <t>Finanzas</t>
        </is>
      </c>
      <c r="E4" t="inlineStr">
        <is>
          <t>Quetzaltenango</t>
        </is>
      </c>
      <c r="F4" t="n">
        <v>22</v>
      </c>
      <c r="G4" s="2" t="n">
        <v>38.75</v>
      </c>
      <c r="H4" s="3" t="n">
        <v>0.15</v>
      </c>
      <c r="I4" s="4" t="n">
        <v>46032</v>
      </c>
      <c r="J4" t="inlineStr">
        <is>
          <t>Abierto</t>
        </is>
      </c>
      <c r="K4" t="inlineStr">
        <is>
          <t>marta.garcía@ejemplo.com</t>
        </is>
      </c>
    </row>
    <row r="5">
      <c r="A5" t="n">
        <v>1004</v>
      </c>
      <c r="B5" t="inlineStr">
        <is>
          <t>José</t>
        </is>
      </c>
      <c r="C5" t="inlineStr">
        <is>
          <t>Ramírez</t>
        </is>
      </c>
      <c r="D5" t="inlineStr">
        <is>
          <t>Ventas</t>
        </is>
      </c>
      <c r="E5" t="inlineStr">
        <is>
          <t>Guatemala</t>
        </is>
      </c>
      <c r="F5" t="n">
        <v>6</v>
      </c>
      <c r="G5" s="2" t="n">
        <v>47.5</v>
      </c>
      <c r="H5" s="3" t="n">
        <v>0</v>
      </c>
      <c r="I5" s="4" t="n">
        <v>46035</v>
      </c>
      <c r="J5" t="inlineStr">
        <is>
          <t>Cerrado</t>
        </is>
      </c>
      <c r="K5" t="inlineStr">
        <is>
          <t>josé.ramírez@ejemplo.com</t>
        </is>
      </c>
    </row>
    <row r="6">
      <c r="A6" t="n">
        <v>1005</v>
      </c>
      <c r="B6" t="inlineStr">
        <is>
          <t>Sofía</t>
        </is>
      </c>
      <c r="C6" t="inlineStr">
        <is>
          <t>Hernández</t>
        </is>
      </c>
      <c r="D6" t="inlineStr">
        <is>
          <t>Operaciones</t>
        </is>
      </c>
      <c r="E6" t="inlineStr">
        <is>
          <t>Escuintla</t>
        </is>
      </c>
      <c r="F6" t="n">
        <v>13</v>
      </c>
      <c r="G6" s="2" t="n">
        <v>56.25</v>
      </c>
      <c r="H6" s="3" t="n">
        <v>0.05</v>
      </c>
      <c r="I6" s="4" t="n">
        <v>46038</v>
      </c>
      <c r="J6" t="inlineStr">
        <is>
          <t>Pendiente</t>
        </is>
      </c>
      <c r="K6" t="inlineStr">
        <is>
          <t>sofía.hernández@ejemplo.com</t>
        </is>
      </c>
    </row>
    <row r="7">
      <c r="A7" t="n">
        <v>1006</v>
      </c>
      <c r="B7" t="inlineStr">
        <is>
          <t>Carlos</t>
        </is>
      </c>
      <c r="C7" t="inlineStr">
        <is>
          <t>Morales</t>
        </is>
      </c>
      <c r="D7" t="inlineStr">
        <is>
          <t>Soporte</t>
        </is>
      </c>
      <c r="E7" t="inlineStr">
        <is>
          <t>Cobán</t>
        </is>
      </c>
      <c r="F7" t="n">
        <v>20</v>
      </c>
      <c r="G7" s="2" t="n">
        <v>65</v>
      </c>
      <c r="H7" s="3" t="n">
        <v>0.1</v>
      </c>
      <c r="I7" s="4" t="n">
        <v>46041</v>
      </c>
      <c r="J7" t="inlineStr">
        <is>
          <t>Abierto</t>
        </is>
      </c>
      <c r="K7" t="inlineStr">
        <is>
          <t>carlos.morales@ejemplo.com</t>
        </is>
      </c>
    </row>
    <row r="8">
      <c r="A8" t="n">
        <v>1007</v>
      </c>
      <c r="B8" t="inlineStr">
        <is>
          <t>Elena</t>
        </is>
      </c>
      <c r="C8" t="inlineStr">
        <is>
          <t>Castillo</t>
        </is>
      </c>
      <c r="D8" t="inlineStr">
        <is>
          <t>Ventas</t>
        </is>
      </c>
      <c r="E8" t="inlineStr">
        <is>
          <t>Antigua</t>
        </is>
      </c>
      <c r="F8" t="n">
        <v>4</v>
      </c>
      <c r="G8" s="2" t="n">
        <v>73.75</v>
      </c>
      <c r="H8" s="3" t="n">
        <v>0.15</v>
      </c>
      <c r="I8" s="4" t="n">
        <v>46044</v>
      </c>
      <c r="J8" t="inlineStr">
        <is>
          <t>Cerrado</t>
        </is>
      </c>
      <c r="K8" t="inlineStr">
        <is>
          <t>elena.castillo@ejemplo.com</t>
        </is>
      </c>
    </row>
    <row r="9">
      <c r="A9" t="n">
        <v>1008</v>
      </c>
      <c r="B9" t="inlineStr">
        <is>
          <t>Diego</t>
        </is>
      </c>
      <c r="C9" t="inlineStr">
        <is>
          <t>Pérez</t>
        </is>
      </c>
      <c r="D9" t="inlineStr">
        <is>
          <t>Finanzas</t>
        </is>
      </c>
      <c r="E9" t="inlineStr">
        <is>
          <t>Guatemala</t>
        </is>
      </c>
      <c r="F9" t="n">
        <v>11</v>
      </c>
      <c r="G9" s="2" t="n">
        <v>82.5</v>
      </c>
      <c r="H9" s="3" t="n">
        <v>0</v>
      </c>
      <c r="I9" s="4" t="n">
        <v>46047</v>
      </c>
      <c r="J9" t="inlineStr">
        <is>
          <t>Pendiente</t>
        </is>
      </c>
      <c r="K9" t="inlineStr">
        <is>
          <t>diego.pérez@ejemplo.com</t>
        </is>
      </c>
    </row>
    <row r="10">
      <c r="A10" t="n">
        <v>1009</v>
      </c>
      <c r="B10" t="inlineStr">
        <is>
          <t>Lucía</t>
        </is>
      </c>
      <c r="C10" t="inlineStr">
        <is>
          <t>Gómez</t>
        </is>
      </c>
      <c r="D10" t="inlineStr">
        <is>
          <t>Operaciones</t>
        </is>
      </c>
      <c r="E10" t="inlineStr">
        <is>
          <t>Petén</t>
        </is>
      </c>
      <c r="F10" t="n">
        <v>18</v>
      </c>
      <c r="G10" s="2" t="n">
        <v>12.5</v>
      </c>
      <c r="H10" s="3" t="n">
        <v>0.05</v>
      </c>
      <c r="I10" s="4" t="n">
        <v>46050</v>
      </c>
      <c r="J10" t="inlineStr">
        <is>
          <t>Abierto</t>
        </is>
      </c>
      <c r="K10" t="inlineStr">
        <is>
          <t>lucía.gómez@ejemplo.com</t>
        </is>
      </c>
    </row>
    <row r="11">
      <c r="A11" t="n">
        <v>1010</v>
      </c>
      <c r="B11" t="inlineStr">
        <is>
          <t>Pablo</t>
        </is>
      </c>
      <c r="C11" t="inlineStr">
        <is>
          <t>Ruiz</t>
        </is>
      </c>
      <c r="D11" t="inlineStr">
        <is>
          <t>Soporte</t>
        </is>
      </c>
      <c r="E11" t="inlineStr">
        <is>
          <t>Quetzaltenango</t>
        </is>
      </c>
      <c r="F11" t="n">
        <v>2</v>
      </c>
      <c r="G11" s="2" t="n">
        <v>21.25</v>
      </c>
      <c r="H11" s="3" t="n">
        <v>0.1</v>
      </c>
      <c r="I11" s="4" t="n">
        <v>46053</v>
      </c>
      <c r="J11" t="inlineStr">
        <is>
          <t>Cerrado</t>
        </is>
      </c>
      <c r="K11" t="inlineStr">
        <is>
          <t>pablo.ruiz@ejemplo.com</t>
        </is>
      </c>
    </row>
    <row r="12">
      <c r="A12" t="n">
        <v>1011</v>
      </c>
      <c r="B12" t="inlineStr">
        <is>
          <t>Ana</t>
        </is>
      </c>
      <c r="C12" t="inlineStr">
        <is>
          <t>López</t>
        </is>
      </c>
      <c r="D12" t="inlineStr">
        <is>
          <t>Ventas</t>
        </is>
      </c>
      <c r="E12" t="inlineStr">
        <is>
          <t>Guatemala</t>
        </is>
      </c>
      <c r="F12" t="n">
        <v>9</v>
      </c>
      <c r="G12" s="2" t="n">
        <v>30</v>
      </c>
      <c r="H12" s="3" t="n">
        <v>0.15</v>
      </c>
      <c r="I12" s="4" t="n">
        <v>46056</v>
      </c>
      <c r="J12" t="inlineStr">
        <is>
          <t>Pendiente</t>
        </is>
      </c>
      <c r="K12" t="inlineStr">
        <is>
          <t>ana.lópez@ejemplo.com</t>
        </is>
      </c>
    </row>
    <row r="13">
      <c r="A13" t="n">
        <v>1012</v>
      </c>
      <c r="B13" t="inlineStr">
        <is>
          <t>Luis</t>
        </is>
      </c>
      <c r="C13" t="inlineStr">
        <is>
          <t>Méndez</t>
        </is>
      </c>
      <c r="D13" t="inlineStr">
        <is>
          <t>Soporte</t>
        </is>
      </c>
      <c r="E13" t="inlineStr">
        <is>
          <t>Antigua</t>
        </is>
      </c>
      <c r="F13" t="n">
        <v>16</v>
      </c>
      <c r="G13" s="2" t="n">
        <v>38.75</v>
      </c>
      <c r="H13" s="3" t="n">
        <v>0</v>
      </c>
      <c r="I13" s="4" t="n">
        <v>46059</v>
      </c>
      <c r="J13" t="inlineStr">
        <is>
          <t>Abierto</t>
        </is>
      </c>
      <c r="K13" t="inlineStr">
        <is>
          <t>luis.méndez@ejemplo.com</t>
        </is>
      </c>
    </row>
    <row r="14">
      <c r="A14" t="n">
        <v>1013</v>
      </c>
      <c r="B14" t="inlineStr">
        <is>
          <t>Marta</t>
        </is>
      </c>
      <c r="C14" t="inlineStr">
        <is>
          <t>García</t>
        </is>
      </c>
      <c r="D14" t="inlineStr">
        <is>
          <t>Finanzas</t>
        </is>
      </c>
      <c r="E14" t="inlineStr">
        <is>
          <t>Quetzaltenango</t>
        </is>
      </c>
      <c r="F14" t="n">
        <v>23</v>
      </c>
      <c r="G14" s="2" t="n">
        <v>47.5</v>
      </c>
      <c r="H14" s="3" t="n">
        <v>0.05</v>
      </c>
      <c r="I14" s="4" t="n">
        <v>46062</v>
      </c>
      <c r="J14" t="inlineStr">
        <is>
          <t>Cerrado</t>
        </is>
      </c>
      <c r="K14" t="inlineStr">
        <is>
          <t>marta.garcía@ejemplo.com</t>
        </is>
      </c>
    </row>
    <row r="15">
      <c r="A15" t="n">
        <v>1014</v>
      </c>
      <c r="B15" t="inlineStr">
        <is>
          <t>José</t>
        </is>
      </c>
      <c r="C15" t="inlineStr">
        <is>
          <t>Ramírez</t>
        </is>
      </c>
      <c r="D15" t="inlineStr">
        <is>
          <t>Ventas</t>
        </is>
      </c>
      <c r="E15" t="inlineStr">
        <is>
          <t>Guatemala</t>
        </is>
      </c>
      <c r="F15" t="n">
        <v>7</v>
      </c>
      <c r="G15" s="2" t="n">
        <v>56.25</v>
      </c>
      <c r="H15" s="3" t="n">
        <v>0.1</v>
      </c>
      <c r="I15" s="4" t="n">
        <v>46065</v>
      </c>
      <c r="J15" t="inlineStr">
        <is>
          <t>Pendiente</t>
        </is>
      </c>
      <c r="K15" t="inlineStr">
        <is>
          <t>josé.ramírez@ejemplo.com</t>
        </is>
      </c>
    </row>
    <row r="16">
      <c r="A16" t="n">
        <v>1015</v>
      </c>
      <c r="B16" t="inlineStr">
        <is>
          <t>Sofía</t>
        </is>
      </c>
      <c r="C16" t="inlineStr">
        <is>
          <t>Hernández</t>
        </is>
      </c>
      <c r="D16" t="inlineStr">
        <is>
          <t>Operaciones</t>
        </is>
      </c>
      <c r="E16" t="inlineStr">
        <is>
          <t>Escuintla</t>
        </is>
      </c>
      <c r="F16" t="n">
        <v>14</v>
      </c>
      <c r="G16" s="2" t="n">
        <v>65</v>
      </c>
      <c r="H16" s="3" t="n">
        <v>0.15</v>
      </c>
      <c r="I16" s="4" t="n">
        <v>46068</v>
      </c>
      <c r="J16" t="inlineStr">
        <is>
          <t>Abierto</t>
        </is>
      </c>
      <c r="K16" t="inlineStr">
        <is>
          <t>sofía.hernández@ejemplo.com</t>
        </is>
      </c>
    </row>
    <row r="17">
      <c r="A17" t="n">
        <v>1016</v>
      </c>
      <c r="B17" t="inlineStr">
        <is>
          <t>Carlos</t>
        </is>
      </c>
      <c r="C17" t="inlineStr">
        <is>
          <t>Morales</t>
        </is>
      </c>
      <c r="D17" t="inlineStr">
        <is>
          <t>Soporte</t>
        </is>
      </c>
      <c r="E17" t="inlineStr">
        <is>
          <t>Cobán</t>
        </is>
      </c>
      <c r="F17" t="n">
        <v>21</v>
      </c>
      <c r="G17" s="2" t="n">
        <v>73.75</v>
      </c>
      <c r="H17" s="3" t="n">
        <v>0</v>
      </c>
      <c r="I17" s="4" t="n">
        <v>46071</v>
      </c>
      <c r="J17" t="inlineStr">
        <is>
          <t>Cerrado</t>
        </is>
      </c>
      <c r="K17" t="inlineStr">
        <is>
          <t>carlos.morales@ejemplo.com</t>
        </is>
      </c>
    </row>
    <row r="18">
      <c r="A18" t="n">
        <v>1017</v>
      </c>
      <c r="B18" t="inlineStr">
        <is>
          <t>Elena</t>
        </is>
      </c>
      <c r="C18" t="inlineStr">
        <is>
          <t>Castillo</t>
        </is>
      </c>
      <c r="D18" t="inlineStr">
        <is>
          <t>Ventas</t>
        </is>
      </c>
      <c r="E18" t="inlineStr">
        <is>
          <t>Antigua</t>
        </is>
      </c>
      <c r="F18" t="n">
        <v>5</v>
      </c>
      <c r="G18" s="2" t="n">
        <v>82.5</v>
      </c>
      <c r="H18" s="3" t="n">
        <v>0.05</v>
      </c>
      <c r="I18" s="4" t="n">
        <v>46074</v>
      </c>
      <c r="J18" t="inlineStr">
        <is>
          <t>Pendiente</t>
        </is>
      </c>
      <c r="K18" t="inlineStr">
        <is>
          <t>elena.castillo@ejemplo.com</t>
        </is>
      </c>
    </row>
    <row r="19">
      <c r="A19" t="n">
        <v>1018</v>
      </c>
      <c r="B19" t="inlineStr">
        <is>
          <t>Diego</t>
        </is>
      </c>
      <c r="C19" t="inlineStr">
        <is>
          <t>Pérez</t>
        </is>
      </c>
      <c r="D19" t="inlineStr">
        <is>
          <t>Finanzas</t>
        </is>
      </c>
      <c r="E19" t="inlineStr">
        <is>
          <t>Guatemala</t>
        </is>
      </c>
      <c r="F19" t="n">
        <v>12</v>
      </c>
      <c r="G19" s="2" t="n">
        <v>12.5</v>
      </c>
      <c r="H19" s="3" t="n">
        <v>0.1</v>
      </c>
      <c r="I19" s="4" t="n">
        <v>46077</v>
      </c>
      <c r="J19" t="inlineStr">
        <is>
          <t>Abierto</t>
        </is>
      </c>
      <c r="K19" t="inlineStr">
        <is>
          <t>diego.pérez@ejemplo.com</t>
        </is>
      </c>
    </row>
    <row r="20">
      <c r="A20" t="n">
        <v>1019</v>
      </c>
      <c r="B20" t="inlineStr">
        <is>
          <t>Lucía</t>
        </is>
      </c>
      <c r="C20" t="inlineStr">
        <is>
          <t>Gómez</t>
        </is>
      </c>
      <c r="D20" t="inlineStr">
        <is>
          <t>Operaciones</t>
        </is>
      </c>
      <c r="E20" t="inlineStr">
        <is>
          <t>Petén</t>
        </is>
      </c>
      <c r="F20" t="n">
        <v>19</v>
      </c>
      <c r="G20" s="2" t="n">
        <v>21.25</v>
      </c>
      <c r="H20" s="3" t="n">
        <v>0.15</v>
      </c>
      <c r="I20" s="4" t="n">
        <v>46080</v>
      </c>
      <c r="J20" t="inlineStr">
        <is>
          <t>Cerrado</t>
        </is>
      </c>
      <c r="K20" t="inlineStr">
        <is>
          <t>lucía.gómez@ejemplo.com</t>
        </is>
      </c>
    </row>
    <row r="21">
      <c r="A21" t="n">
        <v>1020</v>
      </c>
      <c r="B21" t="inlineStr">
        <is>
          <t>Pablo</t>
        </is>
      </c>
      <c r="C21" t="inlineStr">
        <is>
          <t>Ruiz</t>
        </is>
      </c>
      <c r="D21" t="inlineStr">
        <is>
          <t>Soporte</t>
        </is>
      </c>
      <c r="E21" t="inlineStr">
        <is>
          <t>Quetzaltenango</t>
        </is>
      </c>
      <c r="F21" t="n">
        <v>3</v>
      </c>
      <c r="G21" s="2" t="n">
        <v>30</v>
      </c>
      <c r="H21" s="3" t="n">
        <v>0</v>
      </c>
      <c r="I21" s="4" t="n">
        <v>46083</v>
      </c>
      <c r="J21" t="inlineStr">
        <is>
          <t>Pendiente</t>
        </is>
      </c>
      <c r="K21" t="inlineStr">
        <is>
          <t>pablo.ruiz@ejemplo.com</t>
        </is>
      </c>
    </row>
    <row r="22">
      <c r="A22" t="n">
        <v>1021</v>
      </c>
      <c r="B22" t="inlineStr">
        <is>
          <t>Ana</t>
        </is>
      </c>
      <c r="C22" t="inlineStr">
        <is>
          <t>López</t>
        </is>
      </c>
      <c r="D22" t="inlineStr">
        <is>
          <t>Ventas</t>
        </is>
      </c>
      <c r="E22" t="inlineStr">
        <is>
          <t>Guatemala</t>
        </is>
      </c>
      <c r="F22" t="n">
        <v>10</v>
      </c>
      <c r="G22" s="2" t="n">
        <v>38.75</v>
      </c>
      <c r="H22" s="3" t="n">
        <v>0.05</v>
      </c>
      <c r="I22" s="4" t="n">
        <v>46086</v>
      </c>
      <c r="J22" t="inlineStr">
        <is>
          <t>Abierto</t>
        </is>
      </c>
      <c r="K22" t="inlineStr">
        <is>
          <t>ana.lópez@ejemplo.com</t>
        </is>
      </c>
    </row>
    <row r="23">
      <c r="A23" t="n">
        <v>1022</v>
      </c>
      <c r="B23" t="inlineStr">
        <is>
          <t>Luis</t>
        </is>
      </c>
      <c r="C23" t="inlineStr">
        <is>
          <t>Méndez</t>
        </is>
      </c>
      <c r="D23" t="inlineStr">
        <is>
          <t>Soporte</t>
        </is>
      </c>
      <c r="E23" t="inlineStr">
        <is>
          <t>Antigua</t>
        </is>
      </c>
      <c r="F23" t="n">
        <v>17</v>
      </c>
      <c r="G23" s="2" t="n">
        <v>47.5</v>
      </c>
      <c r="H23" s="3" t="n">
        <v>0.1</v>
      </c>
      <c r="I23" s="4" t="n">
        <v>46089</v>
      </c>
      <c r="J23" t="inlineStr">
        <is>
          <t>Cerrado</t>
        </is>
      </c>
      <c r="K23" t="inlineStr">
        <is>
          <t>luis.méndez@ejemplo.com</t>
        </is>
      </c>
    </row>
    <row r="24">
      <c r="A24" t="n">
        <v>1023</v>
      </c>
      <c r="B24" t="inlineStr">
        <is>
          <t>Marta</t>
        </is>
      </c>
      <c r="C24" t="inlineStr">
        <is>
          <t>García</t>
        </is>
      </c>
      <c r="D24" t="inlineStr">
        <is>
          <t>Finanzas</t>
        </is>
      </c>
      <c r="E24" t="inlineStr">
        <is>
          <t>Quetzaltenango</t>
        </is>
      </c>
      <c r="F24" t="n">
        <v>1</v>
      </c>
      <c r="G24" s="2" t="n">
        <v>56.25</v>
      </c>
      <c r="H24" s="3" t="n">
        <v>0.15</v>
      </c>
      <c r="I24" s="4" t="n">
        <v>46092</v>
      </c>
      <c r="J24" t="inlineStr">
        <is>
          <t>Pendiente</t>
        </is>
      </c>
      <c r="K24" t="inlineStr">
        <is>
          <t>marta.garcía@ejemplo.com</t>
        </is>
      </c>
    </row>
    <row r="25">
      <c r="A25" t="n">
        <v>1024</v>
      </c>
      <c r="B25" t="inlineStr">
        <is>
          <t>José</t>
        </is>
      </c>
      <c r="C25" t="inlineStr">
        <is>
          <t>Ramírez</t>
        </is>
      </c>
      <c r="D25" t="inlineStr">
        <is>
          <t>Ventas</t>
        </is>
      </c>
      <c r="E25" t="inlineStr">
        <is>
          <t>Guatemala</t>
        </is>
      </c>
      <c r="F25" t="n">
        <v>8</v>
      </c>
      <c r="G25" s="2" t="n">
        <v>65</v>
      </c>
      <c r="H25" s="3" t="n">
        <v>0</v>
      </c>
      <c r="I25" s="4" t="n">
        <v>46095</v>
      </c>
      <c r="J25" t="inlineStr">
        <is>
          <t>Abierto</t>
        </is>
      </c>
      <c r="K25" t="inlineStr">
        <is>
          <t>josé.ramírez@ejemplo.com</t>
        </is>
      </c>
    </row>
    <row r="26">
      <c r="A26" t="n">
        <v>1025</v>
      </c>
      <c r="B26" t="inlineStr">
        <is>
          <t>Sofía</t>
        </is>
      </c>
      <c r="C26" t="inlineStr">
        <is>
          <t>Hernández</t>
        </is>
      </c>
      <c r="D26" t="inlineStr">
        <is>
          <t>Operaciones</t>
        </is>
      </c>
      <c r="E26" t="inlineStr">
        <is>
          <t>Escuintla</t>
        </is>
      </c>
      <c r="F26" t="n">
        <v>15</v>
      </c>
      <c r="G26" s="2" t="n">
        <v>73.75</v>
      </c>
      <c r="H26" s="3" t="n">
        <v>0.05</v>
      </c>
      <c r="I26" s="4" t="n">
        <v>46098</v>
      </c>
      <c r="J26" t="inlineStr">
        <is>
          <t>Cerrado</t>
        </is>
      </c>
      <c r="K26" t="inlineStr">
        <is>
          <t>sofía.hernández@ejemplo.com</t>
        </is>
      </c>
    </row>
    <row r="27">
      <c r="A27" t="n">
        <v>1026</v>
      </c>
      <c r="B27" t="inlineStr">
        <is>
          <t>Carlos</t>
        </is>
      </c>
      <c r="C27" t="inlineStr">
        <is>
          <t>Morales</t>
        </is>
      </c>
      <c r="D27" t="inlineStr">
        <is>
          <t>Soporte</t>
        </is>
      </c>
      <c r="E27" t="inlineStr">
        <is>
          <t>Cobán</t>
        </is>
      </c>
      <c r="F27" t="n">
        <v>22</v>
      </c>
      <c r="G27" s="2" t="n">
        <v>82.5</v>
      </c>
      <c r="H27" s="3" t="n">
        <v>0.1</v>
      </c>
      <c r="I27" s="4" t="n">
        <v>46101</v>
      </c>
      <c r="J27" t="inlineStr">
        <is>
          <t>Pendiente</t>
        </is>
      </c>
      <c r="K27" t="inlineStr">
        <is>
          <t>carlos.morales@ejemplo.com</t>
        </is>
      </c>
    </row>
    <row r="28">
      <c r="A28" t="n">
        <v>1027</v>
      </c>
      <c r="B28" t="inlineStr">
        <is>
          <t>Elena</t>
        </is>
      </c>
      <c r="C28" t="inlineStr">
        <is>
          <t>Castillo</t>
        </is>
      </c>
      <c r="D28" t="inlineStr">
        <is>
          <t>Ventas</t>
        </is>
      </c>
      <c r="E28" t="inlineStr">
        <is>
          <t>Antigua</t>
        </is>
      </c>
      <c r="F28" t="n">
        <v>6</v>
      </c>
      <c r="G28" s="2" t="n">
        <v>12.5</v>
      </c>
      <c r="H28" s="3" t="n">
        <v>0.15</v>
      </c>
      <c r="I28" s="4" t="n">
        <v>46104</v>
      </c>
      <c r="J28" t="inlineStr">
        <is>
          <t>Abierto</t>
        </is>
      </c>
      <c r="K28" t="inlineStr">
        <is>
          <t>elena.castillo@ejemplo.com</t>
        </is>
      </c>
    </row>
    <row r="29">
      <c r="A29" t="n">
        <v>1028</v>
      </c>
      <c r="B29" t="inlineStr">
        <is>
          <t>Diego</t>
        </is>
      </c>
      <c r="C29" t="inlineStr">
        <is>
          <t>Pérez</t>
        </is>
      </c>
      <c r="D29" t="inlineStr">
        <is>
          <t>Finanzas</t>
        </is>
      </c>
      <c r="E29" t="inlineStr">
        <is>
          <t>Guatemala</t>
        </is>
      </c>
      <c r="F29" t="n">
        <v>13</v>
      </c>
      <c r="G29" s="2" t="n">
        <v>21.25</v>
      </c>
      <c r="H29" s="3" t="n">
        <v>0</v>
      </c>
      <c r="I29" s="4" t="n">
        <v>46107</v>
      </c>
      <c r="J29" t="inlineStr">
        <is>
          <t>Cerrado</t>
        </is>
      </c>
      <c r="K29" t="inlineStr">
        <is>
          <t>diego.pérez@ejemplo.com</t>
        </is>
      </c>
    </row>
    <row r="30">
      <c r="A30" t="n">
        <v>1029</v>
      </c>
      <c r="B30" t="inlineStr">
        <is>
          <t>Lucía</t>
        </is>
      </c>
      <c r="C30" t="inlineStr">
        <is>
          <t>Gómez</t>
        </is>
      </c>
      <c r="D30" t="inlineStr">
        <is>
          <t>Operaciones</t>
        </is>
      </c>
      <c r="E30" t="inlineStr">
        <is>
          <t>Petén</t>
        </is>
      </c>
      <c r="F30" t="n">
        <v>20</v>
      </c>
      <c r="G30" s="2" t="n">
        <v>30</v>
      </c>
      <c r="H30" s="3" t="n">
        <v>0.05</v>
      </c>
      <c r="I30" s="4" t="n">
        <v>46110</v>
      </c>
      <c r="J30" t="inlineStr">
        <is>
          <t>Pendiente</t>
        </is>
      </c>
      <c r="K30" t="inlineStr">
        <is>
          <t>lucía.gómez@ejemplo.com</t>
        </is>
      </c>
    </row>
    <row r="31">
      <c r="A31" t="n">
        <v>1030</v>
      </c>
      <c r="B31" t="inlineStr">
        <is>
          <t>Pablo</t>
        </is>
      </c>
      <c r="C31" t="inlineStr">
        <is>
          <t>Ruiz</t>
        </is>
      </c>
      <c r="D31" t="inlineStr">
        <is>
          <t>Soporte</t>
        </is>
      </c>
      <c r="E31" t="inlineStr">
        <is>
          <t>Quetzaltenango</t>
        </is>
      </c>
      <c r="F31" t="n">
        <v>4</v>
      </c>
      <c r="G31" s="2" t="n">
        <v>38.75</v>
      </c>
      <c r="H31" s="3" t="n">
        <v>0.1</v>
      </c>
      <c r="I31" s="4" t="n">
        <v>46113</v>
      </c>
      <c r="J31" t="inlineStr">
        <is>
          <t>Abierto</t>
        </is>
      </c>
      <c r="K31" t="inlineStr">
        <is>
          <t>pablo.ruiz@ejemplo.com</t>
        </is>
      </c>
    </row>
    <row r="32">
      <c r="A32" t="n">
        <v>1031</v>
      </c>
      <c r="B32" t="inlineStr">
        <is>
          <t>Ana</t>
        </is>
      </c>
      <c r="C32" t="inlineStr">
        <is>
          <t>López</t>
        </is>
      </c>
      <c r="D32" t="inlineStr">
        <is>
          <t>Ventas</t>
        </is>
      </c>
      <c r="E32" t="inlineStr">
        <is>
          <t>Guatemala</t>
        </is>
      </c>
      <c r="F32" t="n">
        <v>11</v>
      </c>
      <c r="G32" s="2" t="n">
        <v>47.5</v>
      </c>
      <c r="H32" s="3" t="n">
        <v>0.15</v>
      </c>
      <c r="I32" s="4" t="n">
        <v>46116</v>
      </c>
      <c r="J32" t="inlineStr">
        <is>
          <t>Cerrado</t>
        </is>
      </c>
      <c r="K32" t="inlineStr">
        <is>
          <t>ana.lópez@ejemplo.com</t>
        </is>
      </c>
    </row>
    <row r="33">
      <c r="A33" t="n">
        <v>1032</v>
      </c>
      <c r="B33" t="inlineStr">
        <is>
          <t>Luis</t>
        </is>
      </c>
      <c r="C33" t="inlineStr">
        <is>
          <t>Méndez</t>
        </is>
      </c>
      <c r="D33" t="inlineStr">
        <is>
          <t>Soporte</t>
        </is>
      </c>
      <c r="E33" t="inlineStr">
        <is>
          <t>Antigua</t>
        </is>
      </c>
      <c r="F33" t="n">
        <v>18</v>
      </c>
      <c r="G33" s="2" t="n">
        <v>56.25</v>
      </c>
      <c r="H33" s="3" t="n">
        <v>0</v>
      </c>
      <c r="I33" s="4" t="n">
        <v>46119</v>
      </c>
      <c r="J33" t="inlineStr">
        <is>
          <t>Pendiente</t>
        </is>
      </c>
      <c r="K33" t="inlineStr">
        <is>
          <t>luis.méndez@ejemplo.com</t>
        </is>
      </c>
    </row>
    <row r="34">
      <c r="A34" t="n">
        <v>1033</v>
      </c>
      <c r="B34" t="inlineStr">
        <is>
          <t>Marta</t>
        </is>
      </c>
      <c r="C34" t="inlineStr">
        <is>
          <t>García</t>
        </is>
      </c>
      <c r="D34" t="inlineStr">
        <is>
          <t>Finanzas</t>
        </is>
      </c>
      <c r="E34" t="inlineStr">
        <is>
          <t>Quetzaltenango</t>
        </is>
      </c>
      <c r="F34" t="n">
        <v>2</v>
      </c>
      <c r="G34" s="2" t="n">
        <v>65</v>
      </c>
      <c r="H34" s="3" t="n">
        <v>0.05</v>
      </c>
      <c r="I34" s="4" t="n">
        <v>46122</v>
      </c>
      <c r="J34" t="inlineStr">
        <is>
          <t>Abierto</t>
        </is>
      </c>
      <c r="K34" t="inlineStr">
        <is>
          <t>marta.garcía@ejemplo.com</t>
        </is>
      </c>
    </row>
    <row r="35">
      <c r="A35" t="n">
        <v>1034</v>
      </c>
      <c r="B35" t="inlineStr">
        <is>
          <t>José</t>
        </is>
      </c>
      <c r="C35" t="inlineStr">
        <is>
          <t>Ramírez</t>
        </is>
      </c>
      <c r="D35" t="inlineStr">
        <is>
          <t>Ventas</t>
        </is>
      </c>
      <c r="E35" t="inlineStr">
        <is>
          <t>Guatemala</t>
        </is>
      </c>
      <c r="F35" t="n">
        <v>9</v>
      </c>
      <c r="G35" s="2" t="n">
        <v>73.75</v>
      </c>
      <c r="H35" s="3" t="n">
        <v>0.1</v>
      </c>
      <c r="I35" s="4" t="n">
        <v>46125</v>
      </c>
      <c r="J35" t="inlineStr">
        <is>
          <t>Cerrado</t>
        </is>
      </c>
      <c r="K35" t="inlineStr">
        <is>
          <t>josé.ramírez@ejemplo.com</t>
        </is>
      </c>
    </row>
    <row r="36">
      <c r="A36" t="n">
        <v>1035</v>
      </c>
      <c r="B36" t="inlineStr">
        <is>
          <t>Sofía</t>
        </is>
      </c>
      <c r="C36" t="inlineStr">
        <is>
          <t>Hernández</t>
        </is>
      </c>
      <c r="D36" t="inlineStr">
        <is>
          <t>Operaciones</t>
        </is>
      </c>
      <c r="E36" t="inlineStr">
        <is>
          <t>Escuintla</t>
        </is>
      </c>
      <c r="F36" t="n">
        <v>16</v>
      </c>
      <c r="G36" s="2" t="n">
        <v>82.5</v>
      </c>
      <c r="H36" s="3" t="n">
        <v>0.15</v>
      </c>
      <c r="I36" s="4" t="n">
        <v>46128</v>
      </c>
      <c r="J36" t="inlineStr">
        <is>
          <t>Pendiente</t>
        </is>
      </c>
      <c r="K36" t="inlineStr">
        <is>
          <t>sofía.hernández@ejemplo.com</t>
        </is>
      </c>
    </row>
    <row r="37">
      <c r="A37" t="n">
        <v>1036</v>
      </c>
      <c r="B37" t="inlineStr">
        <is>
          <t>Carlos</t>
        </is>
      </c>
      <c r="C37" t="inlineStr">
        <is>
          <t>Morales</t>
        </is>
      </c>
      <c r="D37" t="inlineStr">
        <is>
          <t>Soporte</t>
        </is>
      </c>
      <c r="E37" t="inlineStr">
        <is>
          <t>Cobán</t>
        </is>
      </c>
      <c r="F37" t="n">
        <v>23</v>
      </c>
      <c r="G37" s="2" t="n">
        <v>12.5</v>
      </c>
      <c r="H37" s="3" t="n">
        <v>0</v>
      </c>
      <c r="I37" s="4" t="n">
        <v>46131</v>
      </c>
      <c r="J37" t="inlineStr">
        <is>
          <t>Abierto</t>
        </is>
      </c>
      <c r="K37" t="inlineStr">
        <is>
          <t>carlos.morales@ejemplo.com</t>
        </is>
      </c>
    </row>
    <row r="38">
      <c r="A38" t="n">
        <v>1037</v>
      </c>
      <c r="B38" t="inlineStr">
        <is>
          <t>Elena</t>
        </is>
      </c>
      <c r="C38" t="inlineStr">
        <is>
          <t>Castillo</t>
        </is>
      </c>
      <c r="D38" t="inlineStr">
        <is>
          <t>Ventas</t>
        </is>
      </c>
      <c r="E38" t="inlineStr">
        <is>
          <t>Antigua</t>
        </is>
      </c>
      <c r="F38" t="n">
        <v>7</v>
      </c>
      <c r="G38" s="2" t="n">
        <v>21.25</v>
      </c>
      <c r="H38" s="3" t="n">
        <v>0.05</v>
      </c>
      <c r="I38" s="4" t="n">
        <v>46134</v>
      </c>
      <c r="J38" t="inlineStr">
        <is>
          <t>Cerrado</t>
        </is>
      </c>
      <c r="K38" t="inlineStr">
        <is>
          <t>elena.castillo@ejemplo.com</t>
        </is>
      </c>
    </row>
    <row r="39">
      <c r="A39" t="n">
        <v>1038</v>
      </c>
      <c r="B39" t="inlineStr">
        <is>
          <t>Diego</t>
        </is>
      </c>
      <c r="C39" t="inlineStr">
        <is>
          <t>Pérez</t>
        </is>
      </c>
      <c r="D39" t="inlineStr">
        <is>
          <t>Finanzas</t>
        </is>
      </c>
      <c r="E39" t="inlineStr">
        <is>
          <t>Guatemala</t>
        </is>
      </c>
      <c r="F39" t="n">
        <v>14</v>
      </c>
      <c r="G39" s="2" t="n">
        <v>30</v>
      </c>
      <c r="H39" s="3" t="n">
        <v>0.1</v>
      </c>
      <c r="I39" s="4" t="n">
        <v>46137</v>
      </c>
      <c r="J39" t="inlineStr">
        <is>
          <t>Pendiente</t>
        </is>
      </c>
      <c r="K39" t="inlineStr">
        <is>
          <t>diego.pérez@ejemplo.com</t>
        </is>
      </c>
    </row>
    <row r="40">
      <c r="A40" t="n">
        <v>1039</v>
      </c>
      <c r="B40" t="inlineStr">
        <is>
          <t>Lucía</t>
        </is>
      </c>
      <c r="C40" t="inlineStr">
        <is>
          <t>Gómez</t>
        </is>
      </c>
      <c r="D40" t="inlineStr">
        <is>
          <t>Operaciones</t>
        </is>
      </c>
      <c r="E40" t="inlineStr">
        <is>
          <t>Petén</t>
        </is>
      </c>
      <c r="F40" t="n">
        <v>21</v>
      </c>
      <c r="G40" s="2" t="n">
        <v>38.75</v>
      </c>
      <c r="H40" s="3" t="n">
        <v>0.15</v>
      </c>
      <c r="I40" s="4" t="n">
        <v>46140</v>
      </c>
      <c r="J40" t="inlineStr">
        <is>
          <t>Abierto</t>
        </is>
      </c>
      <c r="K40" t="inlineStr">
        <is>
          <t>lucía.gómez@ejemplo.com</t>
        </is>
      </c>
    </row>
    <row r="41">
      <c r="A41" t="n">
        <v>1040</v>
      </c>
      <c r="B41" t="inlineStr">
        <is>
          <t>Pablo</t>
        </is>
      </c>
      <c r="C41" t="inlineStr">
        <is>
          <t>Ruiz</t>
        </is>
      </c>
      <c r="D41" t="inlineStr">
        <is>
          <t>Soporte</t>
        </is>
      </c>
      <c r="E41" t="inlineStr">
        <is>
          <t>Quetzaltenango</t>
        </is>
      </c>
      <c r="F41" t="n">
        <v>5</v>
      </c>
      <c r="G41" s="2" t="n">
        <v>47.5</v>
      </c>
      <c r="H41" s="3" t="n">
        <v>0</v>
      </c>
      <c r="I41" s="4" t="n">
        <v>46143</v>
      </c>
      <c r="J41" t="inlineStr">
        <is>
          <t>Cerrado</t>
        </is>
      </c>
      <c r="K41" t="inlineStr">
        <is>
          <t>pablo.ruiz@ejemplo.com</t>
        </is>
      </c>
    </row>
    <row r="42">
      <c r="A42" t="n">
        <v>1041</v>
      </c>
      <c r="B42" t="inlineStr">
        <is>
          <t>Ana</t>
        </is>
      </c>
      <c r="C42" t="inlineStr">
        <is>
          <t>López</t>
        </is>
      </c>
      <c r="D42" t="inlineStr">
        <is>
          <t>Ventas</t>
        </is>
      </c>
      <c r="E42" t="inlineStr">
        <is>
          <t>Guatemala</t>
        </is>
      </c>
      <c r="F42" t="n">
        <v>12</v>
      </c>
      <c r="G42" s="2" t="n">
        <v>56.25</v>
      </c>
      <c r="H42" s="3" t="n">
        <v>0.05</v>
      </c>
      <c r="I42" s="4" t="n">
        <v>46146</v>
      </c>
      <c r="J42" t="inlineStr">
        <is>
          <t>Pendiente</t>
        </is>
      </c>
      <c r="K42" t="inlineStr">
        <is>
          <t>ana.lópez@ejemplo.com</t>
        </is>
      </c>
    </row>
    <row r="43">
      <c r="A43" t="n">
        <v>1042</v>
      </c>
      <c r="B43" t="inlineStr">
        <is>
          <t>Luis</t>
        </is>
      </c>
      <c r="C43" t="inlineStr">
        <is>
          <t>Méndez</t>
        </is>
      </c>
      <c r="D43" t="inlineStr">
        <is>
          <t>Soporte</t>
        </is>
      </c>
      <c r="E43" t="inlineStr">
        <is>
          <t>Antigua</t>
        </is>
      </c>
      <c r="F43" t="n">
        <v>19</v>
      </c>
      <c r="G43" s="2" t="n">
        <v>65</v>
      </c>
      <c r="H43" s="3" t="n">
        <v>0.1</v>
      </c>
      <c r="I43" s="4" t="n">
        <v>46149</v>
      </c>
      <c r="J43" t="inlineStr">
        <is>
          <t>Abierto</t>
        </is>
      </c>
      <c r="K43" t="inlineStr">
        <is>
          <t>luis.méndez@ejemplo.com</t>
        </is>
      </c>
    </row>
    <row r="44">
      <c r="A44" t="n">
        <v>1043</v>
      </c>
      <c r="B44" t="inlineStr">
        <is>
          <t>Marta</t>
        </is>
      </c>
      <c r="C44" t="inlineStr">
        <is>
          <t>García</t>
        </is>
      </c>
      <c r="D44" t="inlineStr">
        <is>
          <t>Finanzas</t>
        </is>
      </c>
      <c r="E44" t="inlineStr">
        <is>
          <t>Quetzaltenango</t>
        </is>
      </c>
      <c r="F44" t="n">
        <v>3</v>
      </c>
      <c r="G44" s="2" t="n">
        <v>73.75</v>
      </c>
      <c r="H44" s="3" t="n">
        <v>0.15</v>
      </c>
      <c r="I44" s="4" t="n">
        <v>46152</v>
      </c>
      <c r="J44" t="inlineStr">
        <is>
          <t>Cerrado</t>
        </is>
      </c>
      <c r="K44" t="inlineStr">
        <is>
          <t>marta.garcía@ejemplo.com</t>
        </is>
      </c>
    </row>
    <row r="45">
      <c r="A45" t="n">
        <v>1044</v>
      </c>
      <c r="B45" t="inlineStr">
        <is>
          <t>José</t>
        </is>
      </c>
      <c r="C45" t="inlineStr">
        <is>
          <t>Ramírez</t>
        </is>
      </c>
      <c r="D45" t="inlineStr">
        <is>
          <t>Ventas</t>
        </is>
      </c>
      <c r="E45" t="inlineStr">
        <is>
          <t>Guatemala</t>
        </is>
      </c>
      <c r="F45" t="n">
        <v>10</v>
      </c>
      <c r="G45" s="2" t="n">
        <v>82.5</v>
      </c>
      <c r="H45" s="3" t="n">
        <v>0</v>
      </c>
      <c r="I45" s="4" t="n">
        <v>46155</v>
      </c>
      <c r="J45" t="inlineStr">
        <is>
          <t>Pendiente</t>
        </is>
      </c>
      <c r="K45" t="inlineStr">
        <is>
          <t>josé.ramírez@ejemplo.com</t>
        </is>
      </c>
    </row>
    <row r="46">
      <c r="A46" t="n">
        <v>1045</v>
      </c>
      <c r="B46" t="inlineStr">
        <is>
          <t>Sofía</t>
        </is>
      </c>
      <c r="C46" t="inlineStr">
        <is>
          <t>Hernández</t>
        </is>
      </c>
      <c r="D46" t="inlineStr">
        <is>
          <t>Operaciones</t>
        </is>
      </c>
      <c r="E46" t="inlineStr">
        <is>
          <t>Escuintla</t>
        </is>
      </c>
      <c r="F46" t="n">
        <v>17</v>
      </c>
      <c r="G46" s="2" t="n">
        <v>12.5</v>
      </c>
      <c r="H46" s="3" t="n">
        <v>0.05</v>
      </c>
      <c r="I46" s="4" t="n">
        <v>46158</v>
      </c>
      <c r="J46" t="inlineStr">
        <is>
          <t>Abierto</t>
        </is>
      </c>
      <c r="K46" t="inlineStr">
        <is>
          <t>sofía.hernández@ejemplo.com</t>
        </is>
      </c>
    </row>
    <row r="47">
      <c r="A47" t="n">
        <v>1046</v>
      </c>
      <c r="B47" t="inlineStr">
        <is>
          <t>Carlos</t>
        </is>
      </c>
      <c r="C47" t="inlineStr">
        <is>
          <t>Morales</t>
        </is>
      </c>
      <c r="D47" t="inlineStr">
        <is>
          <t>Soporte</t>
        </is>
      </c>
      <c r="E47" t="inlineStr">
        <is>
          <t>Cobán</t>
        </is>
      </c>
      <c r="F47" t="n">
        <v>1</v>
      </c>
      <c r="G47" s="2" t="n">
        <v>21.25</v>
      </c>
      <c r="H47" s="3" t="n">
        <v>0.1</v>
      </c>
      <c r="I47" s="4" t="n">
        <v>46161</v>
      </c>
      <c r="J47" t="inlineStr">
        <is>
          <t>Cerrado</t>
        </is>
      </c>
      <c r="K47" t="inlineStr">
        <is>
          <t>carlos.morales@ejemplo.com</t>
        </is>
      </c>
    </row>
    <row r="48">
      <c r="A48" t="n">
        <v>1047</v>
      </c>
      <c r="B48" t="inlineStr">
        <is>
          <t>Elena</t>
        </is>
      </c>
      <c r="C48" t="inlineStr">
        <is>
          <t>Castillo</t>
        </is>
      </c>
      <c r="D48" t="inlineStr">
        <is>
          <t>Ventas</t>
        </is>
      </c>
      <c r="E48" t="inlineStr">
        <is>
          <t>Antigua</t>
        </is>
      </c>
      <c r="F48" t="n">
        <v>8</v>
      </c>
      <c r="G48" s="2" t="n">
        <v>30</v>
      </c>
      <c r="H48" s="3" t="n">
        <v>0.15</v>
      </c>
      <c r="I48" s="4" t="n">
        <v>46164</v>
      </c>
      <c r="J48" t="inlineStr">
        <is>
          <t>Pendiente</t>
        </is>
      </c>
      <c r="K48" t="inlineStr">
        <is>
          <t>elena.castillo@ejemplo.com</t>
        </is>
      </c>
    </row>
    <row r="49">
      <c r="A49" t="n">
        <v>1048</v>
      </c>
      <c r="B49" t="inlineStr">
        <is>
          <t>Diego</t>
        </is>
      </c>
      <c r="C49" t="inlineStr">
        <is>
          <t>Pérez</t>
        </is>
      </c>
      <c r="D49" t="inlineStr">
        <is>
          <t>Finanzas</t>
        </is>
      </c>
      <c r="E49" t="inlineStr">
        <is>
          <t>Guatemala</t>
        </is>
      </c>
      <c r="F49" t="n">
        <v>15</v>
      </c>
      <c r="G49" s="2" t="n">
        <v>38.75</v>
      </c>
      <c r="H49" s="3" t="n">
        <v>0</v>
      </c>
      <c r="I49" s="4" t="n">
        <v>46167</v>
      </c>
      <c r="J49" t="inlineStr">
        <is>
          <t>Abierto</t>
        </is>
      </c>
      <c r="K49" t="inlineStr">
        <is>
          <t>diego.pérez@ejemplo.com</t>
        </is>
      </c>
    </row>
    <row r="50">
      <c r="A50" t="n">
        <v>1049</v>
      </c>
      <c r="B50" t="inlineStr">
        <is>
          <t>Lucía</t>
        </is>
      </c>
      <c r="C50" t="inlineStr">
        <is>
          <t>Gómez</t>
        </is>
      </c>
      <c r="D50" t="inlineStr">
        <is>
          <t>Operaciones</t>
        </is>
      </c>
      <c r="E50" t="inlineStr">
        <is>
          <t>Petén</t>
        </is>
      </c>
      <c r="F50" t="n">
        <v>22</v>
      </c>
      <c r="G50" s="2" t="n">
        <v>47.5</v>
      </c>
      <c r="H50" s="3" t="n">
        <v>0.05</v>
      </c>
      <c r="I50" s="4" t="n">
        <v>46170</v>
      </c>
      <c r="J50" t="inlineStr">
        <is>
          <t>Cerrado</t>
        </is>
      </c>
      <c r="K50" t="inlineStr">
        <is>
          <t>lucía.gómez@ejemplo.com</t>
        </is>
      </c>
    </row>
    <row r="51">
      <c r="A51" t="n">
        <v>1050</v>
      </c>
      <c r="B51" t="inlineStr">
        <is>
          <t>Pablo</t>
        </is>
      </c>
      <c r="C51" t="inlineStr">
        <is>
          <t>Ruiz</t>
        </is>
      </c>
      <c r="D51" t="inlineStr">
        <is>
          <t>Soporte</t>
        </is>
      </c>
      <c r="E51" t="inlineStr">
        <is>
          <t>Quetzaltenango</t>
        </is>
      </c>
      <c r="F51" t="n">
        <v>6</v>
      </c>
      <c r="G51" s="2" t="n">
        <v>56.25</v>
      </c>
      <c r="H51" s="3" t="n">
        <v>0.1</v>
      </c>
      <c r="I51" s="4" t="n">
        <v>46173</v>
      </c>
      <c r="J51" t="inlineStr">
        <is>
          <t>Pendiente</t>
        </is>
      </c>
      <c r="K51" t="inlineStr">
        <is>
          <t>pablo.ruiz@ejemplo.com</t>
        </is>
      </c>
    </row>
  </sheetData>
  <autoFilter ref="A1:K51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U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2" customWidth="1" min="4" max="4"/>
    <col width="12" customWidth="1" min="5" max="5"/>
    <col width="31" customWidth="1" min="6" max="6"/>
    <col width="34" customWidth="1" min="7" max="7"/>
    <col width="31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16" customWidth="1" min="14" max="14"/>
    <col width="16" customWidth="1" min="15" max="15"/>
    <col width="15" customWidth="1" min="16" max="16"/>
    <col width="19" customWidth="1" min="17" max="17"/>
    <col width="21" customWidth="1" min="18" max="18"/>
    <col width="18" customWidth="1" min="19" max="19"/>
    <col width="21" customWidth="1" min="20" max="20"/>
    <col width="23" customWidth="1" min="21" max="21"/>
  </cols>
  <sheetData>
    <row r="1">
      <c r="A1" s="1" t="inlineStr">
        <is>
          <t>ID</t>
        </is>
      </c>
      <c r="B1" s="1" t="inlineStr">
        <is>
          <t>Importe bruto</t>
        </is>
      </c>
      <c r="C1" s="1" t="inlineStr">
        <is>
          <t>Importe neto</t>
        </is>
      </c>
      <c r="D1" s="1" t="inlineStr">
        <is>
          <t>Impuesto</t>
        </is>
      </c>
      <c r="E1" s="1" t="inlineStr">
        <is>
          <t>Total</t>
        </is>
      </c>
      <c r="F1" s="1" t="inlineStr">
        <is>
          <t>IF</t>
        </is>
      </c>
      <c r="G1" s="1" t="inlineStr">
        <is>
          <t>IFS</t>
        </is>
      </c>
      <c r="H1" s="1" t="inlineStr">
        <is>
          <t>AND</t>
        </is>
      </c>
      <c r="I1" s="1" t="inlineStr">
        <is>
          <t>OR</t>
        </is>
      </c>
      <c r="J1" s="1" t="inlineStr">
        <is>
          <t>IFERROR</t>
        </is>
      </c>
      <c r="K1" s="1" t="inlineStr">
        <is>
          <t>SUMIF dep.</t>
        </is>
      </c>
      <c r="L1" s="1" t="inlineStr">
        <is>
          <t>COUNTIF estado</t>
        </is>
      </c>
      <c r="M1" s="1" t="inlineStr">
        <is>
          <t>AVERAGEIF dep.</t>
        </is>
      </c>
      <c r="N1" s="1" t="inlineStr">
        <is>
          <t>MAX</t>
        </is>
      </c>
      <c r="O1" s="1" t="inlineStr">
        <is>
          <t>MIN</t>
        </is>
      </c>
      <c r="P1" s="1" t="inlineStr">
        <is>
          <t>ROUND</t>
        </is>
      </c>
      <c r="Q1" s="1" t="inlineStr">
        <is>
          <t>MOD</t>
        </is>
      </c>
      <c r="R1" s="1" t="inlineStr">
        <is>
          <t>ABS</t>
        </is>
      </c>
      <c r="S1" s="1" t="inlineStr">
        <is>
          <t>SQRT</t>
        </is>
      </c>
      <c r="T1" s="1" t="inlineStr">
        <is>
          <t>POWER</t>
        </is>
      </c>
      <c r="U1" s="1" t="inlineStr">
        <is>
          <t>RANK</t>
        </is>
      </c>
    </row>
    <row r="2">
      <c r="A2">
        <f>Datos!A2</f>
        <v/>
      </c>
      <c r="B2">
        <f>Datos!F2*Datos!G2</f>
        <v/>
      </c>
      <c r="C2">
        <f>B2*(1-Datos!H2)</f>
        <v/>
      </c>
      <c r="D2">
        <f>C2*0.12</f>
        <v/>
      </c>
      <c r="E2">
        <f>C2+D2</f>
        <v/>
      </c>
      <c r="F2">
        <f>IF(E2&gt;=200,"Alto","Normal")</f>
        <v/>
      </c>
      <c r="G2">
        <f>IFS(E2&gt;=400,"Premium",E2&gt;=200,"Medio",TRUE,"Bajo")</f>
        <v/>
      </c>
      <c r="H2">
        <f>AND(Datos!F2&gt;0,Datos!G2&gt;0)</f>
        <v/>
      </c>
      <c r="I2">
        <f>OR(Datos!J2="Abierto",Datos!J2="Pendiente")</f>
        <v/>
      </c>
      <c r="J2">
        <f>IFERROR(B2/(Datos!F2-Datos!F2),"Sin división")</f>
        <v/>
      </c>
      <c r="K2">
        <f>SUMIF(Datos!D$2:D$51,Datos!D2,Calculos!C$2:C$51)</f>
        <v/>
      </c>
      <c r="L2">
        <f>COUNTIF(Datos!J$2:J$51,Datos!J2)</f>
        <v/>
      </c>
      <c r="M2">
        <f>AVERAGEIF(Datos!D$2:D$51,Datos!D2,Calculos!E$2:E$51)</f>
        <v/>
      </c>
      <c r="N2">
        <f>MAX(B$2:B$51)</f>
        <v/>
      </c>
      <c r="O2">
        <f>MIN(B$2:B$51)</f>
        <v/>
      </c>
      <c r="P2">
        <f>ROUND(E2,2)</f>
        <v/>
      </c>
      <c r="Q2">
        <f>MOD(Datos!F2,5)</f>
        <v/>
      </c>
      <c r="R2">
        <f>ABS(Datos!H2-0.1)</f>
        <v/>
      </c>
      <c r="S2">
        <f>SQRT(Datos!F2)</f>
        <v/>
      </c>
      <c r="T2">
        <f>POWER(Datos!G2,2)</f>
        <v/>
      </c>
      <c r="U2">
        <f>RANK(E2,E$2:E$51,0)</f>
        <v/>
      </c>
    </row>
    <row r="3">
      <c r="A3">
        <f>Datos!A3</f>
        <v/>
      </c>
      <c r="B3">
        <f>Datos!F3*Datos!G3</f>
        <v/>
      </c>
      <c r="C3">
        <f>B3*(1-Datos!H3)</f>
        <v/>
      </c>
      <c r="D3">
        <f>C3*0.12</f>
        <v/>
      </c>
      <c r="E3">
        <f>C3+D3</f>
        <v/>
      </c>
      <c r="F3">
        <f>IF(E3&gt;=200,"Alto","Normal")</f>
        <v/>
      </c>
      <c r="G3">
        <f>IFS(E3&gt;=400,"Premium",E3&gt;=200,"Medio",TRUE,"Bajo")</f>
        <v/>
      </c>
      <c r="H3">
        <f>AND(Datos!F3&gt;0,Datos!G3&gt;0)</f>
        <v/>
      </c>
      <c r="I3">
        <f>OR(Datos!J3="Abierto",Datos!J3="Pendiente")</f>
        <v/>
      </c>
      <c r="J3">
        <f>IFERROR(B3/(Datos!F3-Datos!F3),"Sin división")</f>
        <v/>
      </c>
      <c r="K3">
        <f>SUMIF(Datos!D$2:D$51,Datos!D3,Calculos!C$2:C$51)</f>
        <v/>
      </c>
      <c r="L3">
        <f>COUNTIF(Datos!J$2:J$51,Datos!J3)</f>
        <v/>
      </c>
      <c r="M3">
        <f>AVERAGEIF(Datos!D$2:D$51,Datos!D3,Calculos!E$2:E$51)</f>
        <v/>
      </c>
      <c r="N3">
        <f>MAX(B$2:B$51)</f>
        <v/>
      </c>
      <c r="O3">
        <f>MIN(B$2:B$51)</f>
        <v/>
      </c>
      <c r="P3">
        <f>ROUND(E3,2)</f>
        <v/>
      </c>
      <c r="Q3">
        <f>MOD(Datos!F3,5)</f>
        <v/>
      </c>
      <c r="R3">
        <f>ABS(Datos!H3-0.1)</f>
        <v/>
      </c>
      <c r="S3">
        <f>SQRT(Datos!F3)</f>
        <v/>
      </c>
      <c r="T3">
        <f>POWER(Datos!G3,2)</f>
        <v/>
      </c>
      <c r="U3">
        <f>RANK(E3,E$2:E$51,0)</f>
        <v/>
      </c>
    </row>
    <row r="4">
      <c r="A4">
        <f>Datos!A4</f>
        <v/>
      </c>
      <c r="B4">
        <f>Datos!F4*Datos!G4</f>
        <v/>
      </c>
      <c r="C4">
        <f>B4*(1-Datos!H4)</f>
        <v/>
      </c>
      <c r="D4">
        <f>C4*0.12</f>
        <v/>
      </c>
      <c r="E4">
        <f>C4+D4</f>
        <v/>
      </c>
      <c r="F4">
        <f>IF(E4&gt;=200,"Alto","Normal")</f>
        <v/>
      </c>
      <c r="G4">
        <f>IFS(E4&gt;=400,"Premium",E4&gt;=200,"Medio",TRUE,"Bajo")</f>
        <v/>
      </c>
      <c r="H4">
        <f>AND(Datos!F4&gt;0,Datos!G4&gt;0)</f>
        <v/>
      </c>
      <c r="I4">
        <f>OR(Datos!J4="Abierto",Datos!J4="Pendiente")</f>
        <v/>
      </c>
      <c r="J4">
        <f>IFERROR(B4/(Datos!F4-Datos!F4),"Sin división")</f>
        <v/>
      </c>
      <c r="K4">
        <f>SUMIF(Datos!D$2:D$51,Datos!D4,Calculos!C$2:C$51)</f>
        <v/>
      </c>
      <c r="L4">
        <f>COUNTIF(Datos!J$2:J$51,Datos!J4)</f>
        <v/>
      </c>
      <c r="M4">
        <f>AVERAGEIF(Datos!D$2:D$51,Datos!D4,Calculos!E$2:E$51)</f>
        <v/>
      </c>
      <c r="N4">
        <f>MAX(B$2:B$51)</f>
        <v/>
      </c>
      <c r="O4">
        <f>MIN(B$2:B$51)</f>
        <v/>
      </c>
      <c r="P4">
        <f>ROUND(E4,2)</f>
        <v/>
      </c>
      <c r="Q4">
        <f>MOD(Datos!F4,5)</f>
        <v/>
      </c>
      <c r="R4">
        <f>ABS(Datos!H4-0.1)</f>
        <v/>
      </c>
      <c r="S4">
        <f>SQRT(Datos!F4)</f>
        <v/>
      </c>
      <c r="T4">
        <f>POWER(Datos!G4,2)</f>
        <v/>
      </c>
      <c r="U4">
        <f>RANK(E4,E$2:E$51,0)</f>
        <v/>
      </c>
    </row>
    <row r="5">
      <c r="A5">
        <f>Datos!A5</f>
        <v/>
      </c>
      <c r="B5">
        <f>Datos!F5*Datos!G5</f>
        <v/>
      </c>
      <c r="C5">
        <f>B5*(1-Datos!H5)</f>
        <v/>
      </c>
      <c r="D5">
        <f>C5*0.12</f>
        <v/>
      </c>
      <c r="E5">
        <f>C5+D5</f>
        <v/>
      </c>
      <c r="F5">
        <f>IF(E5&gt;=200,"Alto","Normal")</f>
        <v/>
      </c>
      <c r="G5">
        <f>IFS(E5&gt;=400,"Premium",E5&gt;=200,"Medio",TRUE,"Bajo")</f>
        <v/>
      </c>
      <c r="H5">
        <f>AND(Datos!F5&gt;0,Datos!G5&gt;0)</f>
        <v/>
      </c>
      <c r="I5">
        <f>OR(Datos!J5="Abierto",Datos!J5="Pendiente")</f>
        <v/>
      </c>
      <c r="J5">
        <f>IFERROR(B5/(Datos!F5-Datos!F5),"Sin división")</f>
        <v/>
      </c>
      <c r="K5">
        <f>SUMIF(Datos!D$2:D$51,Datos!D5,Calculos!C$2:C$51)</f>
        <v/>
      </c>
      <c r="L5">
        <f>COUNTIF(Datos!J$2:J$51,Datos!J5)</f>
        <v/>
      </c>
      <c r="M5">
        <f>AVERAGEIF(Datos!D$2:D$51,Datos!D5,Calculos!E$2:E$51)</f>
        <v/>
      </c>
      <c r="N5">
        <f>MAX(B$2:B$51)</f>
        <v/>
      </c>
      <c r="O5">
        <f>MIN(B$2:B$51)</f>
        <v/>
      </c>
      <c r="P5">
        <f>ROUND(E5,2)</f>
        <v/>
      </c>
      <c r="Q5">
        <f>MOD(Datos!F5,5)</f>
        <v/>
      </c>
      <c r="R5">
        <f>ABS(Datos!H5-0.1)</f>
        <v/>
      </c>
      <c r="S5">
        <f>SQRT(Datos!F5)</f>
        <v/>
      </c>
      <c r="T5">
        <f>POWER(Datos!G5,2)</f>
        <v/>
      </c>
      <c r="U5">
        <f>RANK(E5,E$2:E$51,0)</f>
        <v/>
      </c>
    </row>
    <row r="6">
      <c r="A6">
        <f>Datos!A6</f>
        <v/>
      </c>
      <c r="B6">
        <f>Datos!F6*Datos!G6</f>
        <v/>
      </c>
      <c r="C6">
        <f>B6*(1-Datos!H6)</f>
        <v/>
      </c>
      <c r="D6">
        <f>C6*0.12</f>
        <v/>
      </c>
      <c r="E6">
        <f>C6+D6</f>
        <v/>
      </c>
      <c r="F6">
        <f>IF(E6&gt;=200,"Alto","Normal")</f>
        <v/>
      </c>
      <c r="G6">
        <f>IFS(E6&gt;=400,"Premium",E6&gt;=200,"Medio",TRUE,"Bajo")</f>
        <v/>
      </c>
      <c r="H6">
        <f>AND(Datos!F6&gt;0,Datos!G6&gt;0)</f>
        <v/>
      </c>
      <c r="I6">
        <f>OR(Datos!J6="Abierto",Datos!J6="Pendiente")</f>
        <v/>
      </c>
      <c r="J6">
        <f>IFERROR(B6/(Datos!F6-Datos!F6),"Sin división")</f>
        <v/>
      </c>
      <c r="K6">
        <f>SUMIF(Datos!D$2:D$51,Datos!D6,Calculos!C$2:C$51)</f>
        <v/>
      </c>
      <c r="L6">
        <f>COUNTIF(Datos!J$2:J$51,Datos!J6)</f>
        <v/>
      </c>
      <c r="M6">
        <f>AVERAGEIF(Datos!D$2:D$51,Datos!D6,Calculos!E$2:E$51)</f>
        <v/>
      </c>
      <c r="N6">
        <f>MAX(B$2:B$51)</f>
        <v/>
      </c>
      <c r="O6">
        <f>MIN(B$2:B$51)</f>
        <v/>
      </c>
      <c r="P6">
        <f>ROUND(E6,2)</f>
        <v/>
      </c>
      <c r="Q6">
        <f>MOD(Datos!F6,5)</f>
        <v/>
      </c>
      <c r="R6">
        <f>ABS(Datos!H6-0.1)</f>
        <v/>
      </c>
      <c r="S6">
        <f>SQRT(Datos!F6)</f>
        <v/>
      </c>
      <c r="T6">
        <f>POWER(Datos!G6,2)</f>
        <v/>
      </c>
      <c r="U6">
        <f>RANK(E6,E$2:E$51,0)</f>
        <v/>
      </c>
    </row>
    <row r="7">
      <c r="A7">
        <f>Datos!A7</f>
        <v/>
      </c>
      <c r="B7">
        <f>Datos!F7*Datos!G7</f>
        <v/>
      </c>
      <c r="C7">
        <f>B7*(1-Datos!H7)</f>
        <v/>
      </c>
      <c r="D7">
        <f>C7*0.12</f>
        <v/>
      </c>
      <c r="E7">
        <f>C7+D7</f>
        <v/>
      </c>
      <c r="F7">
        <f>IF(E7&gt;=200,"Alto","Normal")</f>
        <v/>
      </c>
      <c r="G7">
        <f>IFS(E7&gt;=400,"Premium",E7&gt;=200,"Medio",TRUE,"Bajo")</f>
        <v/>
      </c>
      <c r="H7">
        <f>AND(Datos!F7&gt;0,Datos!G7&gt;0)</f>
        <v/>
      </c>
      <c r="I7">
        <f>OR(Datos!J7="Abierto",Datos!J7="Pendiente")</f>
        <v/>
      </c>
      <c r="J7">
        <f>IFERROR(B7/(Datos!F7-Datos!F7),"Sin división")</f>
        <v/>
      </c>
      <c r="K7">
        <f>SUMIF(Datos!D$2:D$51,Datos!D7,Calculos!C$2:C$51)</f>
        <v/>
      </c>
      <c r="L7">
        <f>COUNTIF(Datos!J$2:J$51,Datos!J7)</f>
        <v/>
      </c>
      <c r="M7">
        <f>AVERAGEIF(Datos!D$2:D$51,Datos!D7,Calculos!E$2:E$51)</f>
        <v/>
      </c>
      <c r="N7">
        <f>MAX(B$2:B$51)</f>
        <v/>
      </c>
      <c r="O7">
        <f>MIN(B$2:B$51)</f>
        <v/>
      </c>
      <c r="P7">
        <f>ROUND(E7,2)</f>
        <v/>
      </c>
      <c r="Q7">
        <f>MOD(Datos!F7,5)</f>
        <v/>
      </c>
      <c r="R7">
        <f>ABS(Datos!H7-0.1)</f>
        <v/>
      </c>
      <c r="S7">
        <f>SQRT(Datos!F7)</f>
        <v/>
      </c>
      <c r="T7">
        <f>POWER(Datos!G7,2)</f>
        <v/>
      </c>
      <c r="U7">
        <f>RANK(E7,E$2:E$51,0)</f>
        <v/>
      </c>
    </row>
    <row r="8">
      <c r="A8">
        <f>Datos!A8</f>
        <v/>
      </c>
      <c r="B8">
        <f>Datos!F8*Datos!G8</f>
        <v/>
      </c>
      <c r="C8">
        <f>B8*(1-Datos!H8)</f>
        <v/>
      </c>
      <c r="D8">
        <f>C8*0.12</f>
        <v/>
      </c>
      <c r="E8">
        <f>C8+D8</f>
        <v/>
      </c>
      <c r="F8">
        <f>IF(E8&gt;=200,"Alto","Normal")</f>
        <v/>
      </c>
      <c r="G8">
        <f>IFS(E8&gt;=400,"Premium",E8&gt;=200,"Medio",TRUE,"Bajo")</f>
        <v/>
      </c>
      <c r="H8">
        <f>AND(Datos!F8&gt;0,Datos!G8&gt;0)</f>
        <v/>
      </c>
      <c r="I8">
        <f>OR(Datos!J8="Abierto",Datos!J8="Pendiente")</f>
        <v/>
      </c>
      <c r="J8">
        <f>IFERROR(B8/(Datos!F8-Datos!F8),"Sin división")</f>
        <v/>
      </c>
      <c r="K8">
        <f>SUMIF(Datos!D$2:D$51,Datos!D8,Calculos!C$2:C$51)</f>
        <v/>
      </c>
      <c r="L8">
        <f>COUNTIF(Datos!J$2:J$51,Datos!J8)</f>
        <v/>
      </c>
      <c r="M8">
        <f>AVERAGEIF(Datos!D$2:D$51,Datos!D8,Calculos!E$2:E$51)</f>
        <v/>
      </c>
      <c r="N8">
        <f>MAX(B$2:B$51)</f>
        <v/>
      </c>
      <c r="O8">
        <f>MIN(B$2:B$51)</f>
        <v/>
      </c>
      <c r="P8">
        <f>ROUND(E8,2)</f>
        <v/>
      </c>
      <c r="Q8">
        <f>MOD(Datos!F8,5)</f>
        <v/>
      </c>
      <c r="R8">
        <f>ABS(Datos!H8-0.1)</f>
        <v/>
      </c>
      <c r="S8">
        <f>SQRT(Datos!F8)</f>
        <v/>
      </c>
      <c r="T8">
        <f>POWER(Datos!G8,2)</f>
        <v/>
      </c>
      <c r="U8">
        <f>RANK(E8,E$2:E$51,0)</f>
        <v/>
      </c>
    </row>
    <row r="9">
      <c r="A9">
        <f>Datos!A9</f>
        <v/>
      </c>
      <c r="B9">
        <f>Datos!F9*Datos!G9</f>
        <v/>
      </c>
      <c r="C9">
        <f>B9*(1-Datos!H9)</f>
        <v/>
      </c>
      <c r="D9">
        <f>C9*0.12</f>
        <v/>
      </c>
      <c r="E9">
        <f>C9+D9</f>
        <v/>
      </c>
      <c r="F9">
        <f>IF(E9&gt;=200,"Alto","Normal")</f>
        <v/>
      </c>
      <c r="G9">
        <f>IFS(E9&gt;=400,"Premium",E9&gt;=200,"Medio",TRUE,"Bajo")</f>
        <v/>
      </c>
      <c r="H9">
        <f>AND(Datos!F9&gt;0,Datos!G9&gt;0)</f>
        <v/>
      </c>
      <c r="I9">
        <f>OR(Datos!J9="Abierto",Datos!J9="Pendiente")</f>
        <v/>
      </c>
      <c r="J9">
        <f>IFERROR(B9/(Datos!F9-Datos!F9),"Sin división")</f>
        <v/>
      </c>
      <c r="K9">
        <f>SUMIF(Datos!D$2:D$51,Datos!D9,Calculos!C$2:C$51)</f>
        <v/>
      </c>
      <c r="L9">
        <f>COUNTIF(Datos!J$2:J$51,Datos!J9)</f>
        <v/>
      </c>
      <c r="M9">
        <f>AVERAGEIF(Datos!D$2:D$51,Datos!D9,Calculos!E$2:E$51)</f>
        <v/>
      </c>
      <c r="N9">
        <f>MAX(B$2:B$51)</f>
        <v/>
      </c>
      <c r="O9">
        <f>MIN(B$2:B$51)</f>
        <v/>
      </c>
      <c r="P9">
        <f>ROUND(E9,2)</f>
        <v/>
      </c>
      <c r="Q9">
        <f>MOD(Datos!F9,5)</f>
        <v/>
      </c>
      <c r="R9">
        <f>ABS(Datos!H9-0.1)</f>
        <v/>
      </c>
      <c r="S9">
        <f>SQRT(Datos!F9)</f>
        <v/>
      </c>
      <c r="T9">
        <f>POWER(Datos!G9,2)</f>
        <v/>
      </c>
      <c r="U9">
        <f>RANK(E9,E$2:E$51,0)</f>
        <v/>
      </c>
    </row>
    <row r="10">
      <c r="A10">
        <f>Datos!A10</f>
        <v/>
      </c>
      <c r="B10">
        <f>Datos!F10*Datos!G10</f>
        <v/>
      </c>
      <c r="C10">
        <f>B10*(1-Datos!H10)</f>
        <v/>
      </c>
      <c r="D10">
        <f>C10*0.12</f>
        <v/>
      </c>
      <c r="E10">
        <f>C10+D10</f>
        <v/>
      </c>
      <c r="F10">
        <f>IF(E10&gt;=200,"Alto","Normal")</f>
        <v/>
      </c>
      <c r="G10">
        <f>IFS(E10&gt;=400,"Premium",E10&gt;=200,"Medio",TRUE,"Bajo")</f>
        <v/>
      </c>
      <c r="H10">
        <f>AND(Datos!F10&gt;0,Datos!G10&gt;0)</f>
        <v/>
      </c>
      <c r="I10">
        <f>OR(Datos!J10="Abierto",Datos!J10="Pendiente")</f>
        <v/>
      </c>
      <c r="J10">
        <f>IFERROR(B10/(Datos!F10-Datos!F10),"Sin división")</f>
        <v/>
      </c>
      <c r="K10">
        <f>SUMIF(Datos!D$2:D$51,Datos!D10,Calculos!C$2:C$51)</f>
        <v/>
      </c>
      <c r="L10">
        <f>COUNTIF(Datos!J$2:J$51,Datos!J10)</f>
        <v/>
      </c>
      <c r="M10">
        <f>AVERAGEIF(Datos!D$2:D$51,Datos!D10,Calculos!E$2:E$51)</f>
        <v/>
      </c>
      <c r="N10">
        <f>MAX(B$2:B$51)</f>
        <v/>
      </c>
      <c r="O10">
        <f>MIN(B$2:B$51)</f>
        <v/>
      </c>
      <c r="P10">
        <f>ROUND(E10,2)</f>
        <v/>
      </c>
      <c r="Q10">
        <f>MOD(Datos!F10,5)</f>
        <v/>
      </c>
      <c r="R10">
        <f>ABS(Datos!H10-0.1)</f>
        <v/>
      </c>
      <c r="S10">
        <f>SQRT(Datos!F10)</f>
        <v/>
      </c>
      <c r="T10">
        <f>POWER(Datos!G10,2)</f>
        <v/>
      </c>
      <c r="U10">
        <f>RANK(E10,E$2:E$51,0)</f>
        <v/>
      </c>
    </row>
    <row r="11">
      <c r="A11">
        <f>Datos!A11</f>
        <v/>
      </c>
      <c r="B11">
        <f>Datos!F11*Datos!G11</f>
        <v/>
      </c>
      <c r="C11">
        <f>B11*(1-Datos!H11)</f>
        <v/>
      </c>
      <c r="D11">
        <f>C11*0.12</f>
        <v/>
      </c>
      <c r="E11">
        <f>C11+D11</f>
        <v/>
      </c>
      <c r="F11">
        <f>IF(E11&gt;=200,"Alto","Normal")</f>
        <v/>
      </c>
      <c r="G11">
        <f>IFS(E11&gt;=400,"Premium",E11&gt;=200,"Medio",TRUE,"Bajo")</f>
        <v/>
      </c>
      <c r="H11">
        <f>AND(Datos!F11&gt;0,Datos!G11&gt;0)</f>
        <v/>
      </c>
      <c r="I11">
        <f>OR(Datos!J11="Abierto",Datos!J11="Pendiente")</f>
        <v/>
      </c>
      <c r="J11">
        <f>IFERROR(B11/(Datos!F11-Datos!F11),"Sin división")</f>
        <v/>
      </c>
      <c r="K11">
        <f>SUMIF(Datos!D$2:D$51,Datos!D11,Calculos!C$2:C$51)</f>
        <v/>
      </c>
      <c r="L11">
        <f>COUNTIF(Datos!J$2:J$51,Datos!J11)</f>
        <v/>
      </c>
      <c r="M11">
        <f>AVERAGEIF(Datos!D$2:D$51,Datos!D11,Calculos!E$2:E$51)</f>
        <v/>
      </c>
      <c r="N11">
        <f>MAX(B$2:B$51)</f>
        <v/>
      </c>
      <c r="O11">
        <f>MIN(B$2:B$51)</f>
        <v/>
      </c>
      <c r="P11">
        <f>ROUND(E11,2)</f>
        <v/>
      </c>
      <c r="Q11">
        <f>MOD(Datos!F11,5)</f>
        <v/>
      </c>
      <c r="R11">
        <f>ABS(Datos!H11-0.1)</f>
        <v/>
      </c>
      <c r="S11">
        <f>SQRT(Datos!F11)</f>
        <v/>
      </c>
      <c r="T11">
        <f>POWER(Datos!G11,2)</f>
        <v/>
      </c>
      <c r="U11">
        <f>RANK(E11,E$2:E$51,0)</f>
        <v/>
      </c>
    </row>
    <row r="12">
      <c r="A12">
        <f>Datos!A12</f>
        <v/>
      </c>
      <c r="B12">
        <f>Datos!F12*Datos!G12</f>
        <v/>
      </c>
      <c r="C12">
        <f>B12*(1-Datos!H12)</f>
        <v/>
      </c>
      <c r="D12">
        <f>C12*0.12</f>
        <v/>
      </c>
      <c r="E12">
        <f>C12+D12</f>
        <v/>
      </c>
      <c r="F12">
        <f>IF(E12&gt;=200,"Alto","Normal")</f>
        <v/>
      </c>
      <c r="G12">
        <f>IFS(E12&gt;=400,"Premium",E12&gt;=200,"Medio",TRUE,"Bajo")</f>
        <v/>
      </c>
      <c r="H12">
        <f>AND(Datos!F12&gt;0,Datos!G12&gt;0)</f>
        <v/>
      </c>
      <c r="I12">
        <f>OR(Datos!J12="Abierto",Datos!J12="Pendiente")</f>
        <v/>
      </c>
      <c r="J12">
        <f>IFERROR(B12/(Datos!F12-Datos!F12),"Sin división")</f>
        <v/>
      </c>
      <c r="K12">
        <f>SUMIF(Datos!D$2:D$51,Datos!D12,Calculos!C$2:C$51)</f>
        <v/>
      </c>
      <c r="L12">
        <f>COUNTIF(Datos!J$2:J$51,Datos!J12)</f>
        <v/>
      </c>
      <c r="M12">
        <f>AVERAGEIF(Datos!D$2:D$51,Datos!D12,Calculos!E$2:E$51)</f>
        <v/>
      </c>
      <c r="N12">
        <f>MAX(B$2:B$51)</f>
        <v/>
      </c>
      <c r="O12">
        <f>MIN(B$2:B$51)</f>
        <v/>
      </c>
      <c r="P12">
        <f>ROUND(E12,2)</f>
        <v/>
      </c>
      <c r="Q12">
        <f>MOD(Datos!F12,5)</f>
        <v/>
      </c>
      <c r="R12">
        <f>ABS(Datos!H12-0.1)</f>
        <v/>
      </c>
      <c r="S12">
        <f>SQRT(Datos!F12)</f>
        <v/>
      </c>
      <c r="T12">
        <f>POWER(Datos!G12,2)</f>
        <v/>
      </c>
      <c r="U12">
        <f>RANK(E12,E$2:E$51,0)</f>
        <v/>
      </c>
    </row>
    <row r="13">
      <c r="A13">
        <f>Datos!A13</f>
        <v/>
      </c>
      <c r="B13">
        <f>Datos!F13*Datos!G13</f>
        <v/>
      </c>
      <c r="C13">
        <f>B13*(1-Datos!H13)</f>
        <v/>
      </c>
      <c r="D13">
        <f>C13*0.12</f>
        <v/>
      </c>
      <c r="E13">
        <f>C13+D13</f>
        <v/>
      </c>
      <c r="F13">
        <f>IF(E13&gt;=200,"Alto","Normal")</f>
        <v/>
      </c>
      <c r="G13">
        <f>IFS(E13&gt;=400,"Premium",E13&gt;=200,"Medio",TRUE,"Bajo")</f>
        <v/>
      </c>
      <c r="H13">
        <f>AND(Datos!F13&gt;0,Datos!G13&gt;0)</f>
        <v/>
      </c>
      <c r="I13">
        <f>OR(Datos!J13="Abierto",Datos!J13="Pendiente")</f>
        <v/>
      </c>
      <c r="J13">
        <f>IFERROR(B13/(Datos!F13-Datos!F13),"Sin división")</f>
        <v/>
      </c>
      <c r="K13">
        <f>SUMIF(Datos!D$2:D$51,Datos!D13,Calculos!C$2:C$51)</f>
        <v/>
      </c>
      <c r="L13">
        <f>COUNTIF(Datos!J$2:J$51,Datos!J13)</f>
        <v/>
      </c>
      <c r="M13">
        <f>AVERAGEIF(Datos!D$2:D$51,Datos!D13,Calculos!E$2:E$51)</f>
        <v/>
      </c>
      <c r="N13">
        <f>MAX(B$2:B$51)</f>
        <v/>
      </c>
      <c r="O13">
        <f>MIN(B$2:B$51)</f>
        <v/>
      </c>
      <c r="P13">
        <f>ROUND(E13,2)</f>
        <v/>
      </c>
      <c r="Q13">
        <f>MOD(Datos!F13,5)</f>
        <v/>
      </c>
      <c r="R13">
        <f>ABS(Datos!H13-0.1)</f>
        <v/>
      </c>
      <c r="S13">
        <f>SQRT(Datos!F13)</f>
        <v/>
      </c>
      <c r="T13">
        <f>POWER(Datos!G13,2)</f>
        <v/>
      </c>
      <c r="U13">
        <f>RANK(E13,E$2:E$51,0)</f>
        <v/>
      </c>
    </row>
    <row r="14">
      <c r="A14">
        <f>Datos!A14</f>
        <v/>
      </c>
      <c r="B14">
        <f>Datos!F14*Datos!G14</f>
        <v/>
      </c>
      <c r="C14">
        <f>B14*(1-Datos!H14)</f>
        <v/>
      </c>
      <c r="D14">
        <f>C14*0.12</f>
        <v/>
      </c>
      <c r="E14">
        <f>C14+D14</f>
        <v/>
      </c>
      <c r="F14">
        <f>IF(E14&gt;=200,"Alto","Normal")</f>
        <v/>
      </c>
      <c r="G14">
        <f>IFS(E14&gt;=400,"Premium",E14&gt;=200,"Medio",TRUE,"Bajo")</f>
        <v/>
      </c>
      <c r="H14">
        <f>AND(Datos!F14&gt;0,Datos!G14&gt;0)</f>
        <v/>
      </c>
      <c r="I14">
        <f>OR(Datos!J14="Abierto",Datos!J14="Pendiente")</f>
        <v/>
      </c>
      <c r="J14">
        <f>IFERROR(B14/(Datos!F14-Datos!F14),"Sin división")</f>
        <v/>
      </c>
      <c r="K14">
        <f>SUMIF(Datos!D$2:D$51,Datos!D14,Calculos!C$2:C$51)</f>
        <v/>
      </c>
      <c r="L14">
        <f>COUNTIF(Datos!J$2:J$51,Datos!J14)</f>
        <v/>
      </c>
      <c r="M14">
        <f>AVERAGEIF(Datos!D$2:D$51,Datos!D14,Calculos!E$2:E$51)</f>
        <v/>
      </c>
      <c r="N14">
        <f>MAX(B$2:B$51)</f>
        <v/>
      </c>
      <c r="O14">
        <f>MIN(B$2:B$51)</f>
        <v/>
      </c>
      <c r="P14">
        <f>ROUND(E14,2)</f>
        <v/>
      </c>
      <c r="Q14">
        <f>MOD(Datos!F14,5)</f>
        <v/>
      </c>
      <c r="R14">
        <f>ABS(Datos!H14-0.1)</f>
        <v/>
      </c>
      <c r="S14">
        <f>SQRT(Datos!F14)</f>
        <v/>
      </c>
      <c r="T14">
        <f>POWER(Datos!G14,2)</f>
        <v/>
      </c>
      <c r="U14">
        <f>RANK(E14,E$2:E$51,0)</f>
        <v/>
      </c>
    </row>
    <row r="15">
      <c r="A15">
        <f>Datos!A15</f>
        <v/>
      </c>
      <c r="B15">
        <f>Datos!F15*Datos!G15</f>
        <v/>
      </c>
      <c r="C15">
        <f>B15*(1-Datos!H15)</f>
        <v/>
      </c>
      <c r="D15">
        <f>C15*0.12</f>
        <v/>
      </c>
      <c r="E15">
        <f>C15+D15</f>
        <v/>
      </c>
      <c r="F15">
        <f>IF(E15&gt;=200,"Alto","Normal")</f>
        <v/>
      </c>
      <c r="G15">
        <f>IFS(E15&gt;=400,"Premium",E15&gt;=200,"Medio",TRUE,"Bajo")</f>
        <v/>
      </c>
      <c r="H15">
        <f>AND(Datos!F15&gt;0,Datos!G15&gt;0)</f>
        <v/>
      </c>
      <c r="I15">
        <f>OR(Datos!J15="Abierto",Datos!J15="Pendiente")</f>
        <v/>
      </c>
      <c r="J15">
        <f>IFERROR(B15/(Datos!F15-Datos!F15),"Sin división")</f>
        <v/>
      </c>
      <c r="K15">
        <f>SUMIF(Datos!D$2:D$51,Datos!D15,Calculos!C$2:C$51)</f>
        <v/>
      </c>
      <c r="L15">
        <f>COUNTIF(Datos!J$2:J$51,Datos!J15)</f>
        <v/>
      </c>
      <c r="M15">
        <f>AVERAGEIF(Datos!D$2:D$51,Datos!D15,Calculos!E$2:E$51)</f>
        <v/>
      </c>
      <c r="N15">
        <f>MAX(B$2:B$51)</f>
        <v/>
      </c>
      <c r="O15">
        <f>MIN(B$2:B$51)</f>
        <v/>
      </c>
      <c r="P15">
        <f>ROUND(E15,2)</f>
        <v/>
      </c>
      <c r="Q15">
        <f>MOD(Datos!F15,5)</f>
        <v/>
      </c>
      <c r="R15">
        <f>ABS(Datos!H15-0.1)</f>
        <v/>
      </c>
      <c r="S15">
        <f>SQRT(Datos!F15)</f>
        <v/>
      </c>
      <c r="T15">
        <f>POWER(Datos!G15,2)</f>
        <v/>
      </c>
      <c r="U15">
        <f>RANK(E15,E$2:E$51,0)</f>
        <v/>
      </c>
    </row>
    <row r="16">
      <c r="A16">
        <f>Datos!A16</f>
        <v/>
      </c>
      <c r="B16">
        <f>Datos!F16*Datos!G16</f>
        <v/>
      </c>
      <c r="C16">
        <f>B16*(1-Datos!H16)</f>
        <v/>
      </c>
      <c r="D16">
        <f>C16*0.12</f>
        <v/>
      </c>
      <c r="E16">
        <f>C16+D16</f>
        <v/>
      </c>
      <c r="F16">
        <f>IF(E16&gt;=200,"Alto","Normal")</f>
        <v/>
      </c>
      <c r="G16">
        <f>IFS(E16&gt;=400,"Premium",E16&gt;=200,"Medio",TRUE,"Bajo")</f>
        <v/>
      </c>
      <c r="H16">
        <f>AND(Datos!F16&gt;0,Datos!G16&gt;0)</f>
        <v/>
      </c>
      <c r="I16">
        <f>OR(Datos!J16="Abierto",Datos!J16="Pendiente")</f>
        <v/>
      </c>
      <c r="J16">
        <f>IFERROR(B16/(Datos!F16-Datos!F16),"Sin división")</f>
        <v/>
      </c>
      <c r="K16">
        <f>SUMIF(Datos!D$2:D$51,Datos!D16,Calculos!C$2:C$51)</f>
        <v/>
      </c>
      <c r="L16">
        <f>COUNTIF(Datos!J$2:J$51,Datos!J16)</f>
        <v/>
      </c>
      <c r="M16">
        <f>AVERAGEIF(Datos!D$2:D$51,Datos!D16,Calculos!E$2:E$51)</f>
        <v/>
      </c>
      <c r="N16">
        <f>MAX(B$2:B$51)</f>
        <v/>
      </c>
      <c r="O16">
        <f>MIN(B$2:B$51)</f>
        <v/>
      </c>
      <c r="P16">
        <f>ROUND(E16,2)</f>
        <v/>
      </c>
      <c r="Q16">
        <f>MOD(Datos!F16,5)</f>
        <v/>
      </c>
      <c r="R16">
        <f>ABS(Datos!H16-0.1)</f>
        <v/>
      </c>
      <c r="S16">
        <f>SQRT(Datos!F16)</f>
        <v/>
      </c>
      <c r="T16">
        <f>POWER(Datos!G16,2)</f>
        <v/>
      </c>
      <c r="U16">
        <f>RANK(E16,E$2:E$51,0)</f>
        <v/>
      </c>
    </row>
    <row r="17">
      <c r="A17">
        <f>Datos!A17</f>
        <v/>
      </c>
      <c r="B17">
        <f>Datos!F17*Datos!G17</f>
        <v/>
      </c>
      <c r="C17">
        <f>B17*(1-Datos!H17)</f>
        <v/>
      </c>
      <c r="D17">
        <f>C17*0.12</f>
        <v/>
      </c>
      <c r="E17">
        <f>C17+D17</f>
        <v/>
      </c>
      <c r="F17">
        <f>IF(E17&gt;=200,"Alto","Normal")</f>
        <v/>
      </c>
      <c r="G17">
        <f>IFS(E17&gt;=400,"Premium",E17&gt;=200,"Medio",TRUE,"Bajo")</f>
        <v/>
      </c>
      <c r="H17">
        <f>AND(Datos!F17&gt;0,Datos!G17&gt;0)</f>
        <v/>
      </c>
      <c r="I17">
        <f>OR(Datos!J17="Abierto",Datos!J17="Pendiente")</f>
        <v/>
      </c>
      <c r="J17">
        <f>IFERROR(B17/(Datos!F17-Datos!F17),"Sin división")</f>
        <v/>
      </c>
      <c r="K17">
        <f>SUMIF(Datos!D$2:D$51,Datos!D17,Calculos!C$2:C$51)</f>
        <v/>
      </c>
      <c r="L17">
        <f>COUNTIF(Datos!J$2:J$51,Datos!J17)</f>
        <v/>
      </c>
      <c r="M17">
        <f>AVERAGEIF(Datos!D$2:D$51,Datos!D17,Calculos!E$2:E$51)</f>
        <v/>
      </c>
      <c r="N17">
        <f>MAX(B$2:B$51)</f>
        <v/>
      </c>
      <c r="O17">
        <f>MIN(B$2:B$51)</f>
        <v/>
      </c>
      <c r="P17">
        <f>ROUND(E17,2)</f>
        <v/>
      </c>
      <c r="Q17">
        <f>MOD(Datos!F17,5)</f>
        <v/>
      </c>
      <c r="R17">
        <f>ABS(Datos!H17-0.1)</f>
        <v/>
      </c>
      <c r="S17">
        <f>SQRT(Datos!F17)</f>
        <v/>
      </c>
      <c r="T17">
        <f>POWER(Datos!G17,2)</f>
        <v/>
      </c>
      <c r="U17">
        <f>RANK(E17,E$2:E$51,0)</f>
        <v/>
      </c>
    </row>
    <row r="18">
      <c r="A18">
        <f>Datos!A18</f>
        <v/>
      </c>
      <c r="B18">
        <f>Datos!F18*Datos!G18</f>
        <v/>
      </c>
      <c r="C18">
        <f>B18*(1-Datos!H18)</f>
        <v/>
      </c>
      <c r="D18">
        <f>C18*0.12</f>
        <v/>
      </c>
      <c r="E18">
        <f>C18+D18</f>
        <v/>
      </c>
      <c r="F18">
        <f>IF(E18&gt;=200,"Alto","Normal")</f>
        <v/>
      </c>
      <c r="G18">
        <f>IFS(E18&gt;=400,"Premium",E18&gt;=200,"Medio",TRUE,"Bajo")</f>
        <v/>
      </c>
      <c r="H18">
        <f>AND(Datos!F18&gt;0,Datos!G18&gt;0)</f>
        <v/>
      </c>
      <c r="I18">
        <f>OR(Datos!J18="Abierto",Datos!J18="Pendiente")</f>
        <v/>
      </c>
      <c r="J18">
        <f>IFERROR(B18/(Datos!F18-Datos!F18),"Sin división")</f>
        <v/>
      </c>
      <c r="K18">
        <f>SUMIF(Datos!D$2:D$51,Datos!D18,Calculos!C$2:C$51)</f>
        <v/>
      </c>
      <c r="L18">
        <f>COUNTIF(Datos!J$2:J$51,Datos!J18)</f>
        <v/>
      </c>
      <c r="M18">
        <f>AVERAGEIF(Datos!D$2:D$51,Datos!D18,Calculos!E$2:E$51)</f>
        <v/>
      </c>
      <c r="N18">
        <f>MAX(B$2:B$51)</f>
        <v/>
      </c>
      <c r="O18">
        <f>MIN(B$2:B$51)</f>
        <v/>
      </c>
      <c r="P18">
        <f>ROUND(E18,2)</f>
        <v/>
      </c>
      <c r="Q18">
        <f>MOD(Datos!F18,5)</f>
        <v/>
      </c>
      <c r="R18">
        <f>ABS(Datos!H18-0.1)</f>
        <v/>
      </c>
      <c r="S18">
        <f>SQRT(Datos!F18)</f>
        <v/>
      </c>
      <c r="T18">
        <f>POWER(Datos!G18,2)</f>
        <v/>
      </c>
      <c r="U18">
        <f>RANK(E18,E$2:E$51,0)</f>
        <v/>
      </c>
    </row>
    <row r="19">
      <c r="A19">
        <f>Datos!A19</f>
        <v/>
      </c>
      <c r="B19">
        <f>Datos!F19*Datos!G19</f>
        <v/>
      </c>
      <c r="C19">
        <f>B19*(1-Datos!H19)</f>
        <v/>
      </c>
      <c r="D19">
        <f>C19*0.12</f>
        <v/>
      </c>
      <c r="E19">
        <f>C19+D19</f>
        <v/>
      </c>
      <c r="F19">
        <f>IF(E19&gt;=200,"Alto","Normal")</f>
        <v/>
      </c>
      <c r="G19">
        <f>IFS(E19&gt;=400,"Premium",E19&gt;=200,"Medio",TRUE,"Bajo")</f>
        <v/>
      </c>
      <c r="H19">
        <f>AND(Datos!F19&gt;0,Datos!G19&gt;0)</f>
        <v/>
      </c>
      <c r="I19">
        <f>OR(Datos!J19="Abierto",Datos!J19="Pendiente")</f>
        <v/>
      </c>
      <c r="J19">
        <f>IFERROR(B19/(Datos!F19-Datos!F19),"Sin división")</f>
        <v/>
      </c>
      <c r="K19">
        <f>SUMIF(Datos!D$2:D$51,Datos!D19,Calculos!C$2:C$51)</f>
        <v/>
      </c>
      <c r="L19">
        <f>COUNTIF(Datos!J$2:J$51,Datos!J19)</f>
        <v/>
      </c>
      <c r="M19">
        <f>AVERAGEIF(Datos!D$2:D$51,Datos!D19,Calculos!E$2:E$51)</f>
        <v/>
      </c>
      <c r="N19">
        <f>MAX(B$2:B$51)</f>
        <v/>
      </c>
      <c r="O19">
        <f>MIN(B$2:B$51)</f>
        <v/>
      </c>
      <c r="P19">
        <f>ROUND(E19,2)</f>
        <v/>
      </c>
      <c r="Q19">
        <f>MOD(Datos!F19,5)</f>
        <v/>
      </c>
      <c r="R19">
        <f>ABS(Datos!H19-0.1)</f>
        <v/>
      </c>
      <c r="S19">
        <f>SQRT(Datos!F19)</f>
        <v/>
      </c>
      <c r="T19">
        <f>POWER(Datos!G19,2)</f>
        <v/>
      </c>
      <c r="U19">
        <f>RANK(E19,E$2:E$51,0)</f>
        <v/>
      </c>
    </row>
    <row r="20">
      <c r="A20">
        <f>Datos!A20</f>
        <v/>
      </c>
      <c r="B20">
        <f>Datos!F20*Datos!G20</f>
        <v/>
      </c>
      <c r="C20">
        <f>B20*(1-Datos!H20)</f>
        <v/>
      </c>
      <c r="D20">
        <f>C20*0.12</f>
        <v/>
      </c>
      <c r="E20">
        <f>C20+D20</f>
        <v/>
      </c>
      <c r="F20">
        <f>IF(E20&gt;=200,"Alto","Normal")</f>
        <v/>
      </c>
      <c r="G20">
        <f>IFS(E20&gt;=400,"Premium",E20&gt;=200,"Medio",TRUE,"Bajo")</f>
        <v/>
      </c>
      <c r="H20">
        <f>AND(Datos!F20&gt;0,Datos!G20&gt;0)</f>
        <v/>
      </c>
      <c r="I20">
        <f>OR(Datos!J20="Abierto",Datos!J20="Pendiente")</f>
        <v/>
      </c>
      <c r="J20">
        <f>IFERROR(B20/(Datos!F20-Datos!F20),"Sin división")</f>
        <v/>
      </c>
      <c r="K20">
        <f>SUMIF(Datos!D$2:D$51,Datos!D20,Calculos!C$2:C$51)</f>
        <v/>
      </c>
      <c r="L20">
        <f>COUNTIF(Datos!J$2:J$51,Datos!J20)</f>
        <v/>
      </c>
      <c r="M20">
        <f>AVERAGEIF(Datos!D$2:D$51,Datos!D20,Calculos!E$2:E$51)</f>
        <v/>
      </c>
      <c r="N20">
        <f>MAX(B$2:B$51)</f>
        <v/>
      </c>
      <c r="O20">
        <f>MIN(B$2:B$51)</f>
        <v/>
      </c>
      <c r="P20">
        <f>ROUND(E20,2)</f>
        <v/>
      </c>
      <c r="Q20">
        <f>MOD(Datos!F20,5)</f>
        <v/>
      </c>
      <c r="R20">
        <f>ABS(Datos!H20-0.1)</f>
        <v/>
      </c>
      <c r="S20">
        <f>SQRT(Datos!F20)</f>
        <v/>
      </c>
      <c r="T20">
        <f>POWER(Datos!G20,2)</f>
        <v/>
      </c>
      <c r="U20">
        <f>RANK(E20,E$2:E$51,0)</f>
        <v/>
      </c>
    </row>
    <row r="21">
      <c r="A21">
        <f>Datos!A21</f>
        <v/>
      </c>
      <c r="B21">
        <f>Datos!F21*Datos!G21</f>
        <v/>
      </c>
      <c r="C21">
        <f>B21*(1-Datos!H21)</f>
        <v/>
      </c>
      <c r="D21">
        <f>C21*0.12</f>
        <v/>
      </c>
      <c r="E21">
        <f>C21+D21</f>
        <v/>
      </c>
      <c r="F21">
        <f>IF(E21&gt;=200,"Alto","Normal")</f>
        <v/>
      </c>
      <c r="G21">
        <f>IFS(E21&gt;=400,"Premium",E21&gt;=200,"Medio",TRUE,"Bajo")</f>
        <v/>
      </c>
      <c r="H21">
        <f>AND(Datos!F21&gt;0,Datos!G21&gt;0)</f>
        <v/>
      </c>
      <c r="I21">
        <f>OR(Datos!J21="Abierto",Datos!J21="Pendiente")</f>
        <v/>
      </c>
      <c r="J21">
        <f>IFERROR(B21/(Datos!F21-Datos!F21),"Sin división")</f>
        <v/>
      </c>
      <c r="K21">
        <f>SUMIF(Datos!D$2:D$51,Datos!D21,Calculos!C$2:C$51)</f>
        <v/>
      </c>
      <c r="L21">
        <f>COUNTIF(Datos!J$2:J$51,Datos!J21)</f>
        <v/>
      </c>
      <c r="M21">
        <f>AVERAGEIF(Datos!D$2:D$51,Datos!D21,Calculos!E$2:E$51)</f>
        <v/>
      </c>
      <c r="N21">
        <f>MAX(B$2:B$51)</f>
        <v/>
      </c>
      <c r="O21">
        <f>MIN(B$2:B$51)</f>
        <v/>
      </c>
      <c r="P21">
        <f>ROUND(E21,2)</f>
        <v/>
      </c>
      <c r="Q21">
        <f>MOD(Datos!F21,5)</f>
        <v/>
      </c>
      <c r="R21">
        <f>ABS(Datos!H21-0.1)</f>
        <v/>
      </c>
      <c r="S21">
        <f>SQRT(Datos!F21)</f>
        <v/>
      </c>
      <c r="T21">
        <f>POWER(Datos!G21,2)</f>
        <v/>
      </c>
      <c r="U21">
        <f>RANK(E21,E$2:E$51,0)</f>
        <v/>
      </c>
    </row>
    <row r="22">
      <c r="A22">
        <f>Datos!A22</f>
        <v/>
      </c>
      <c r="B22">
        <f>Datos!F22*Datos!G22</f>
        <v/>
      </c>
      <c r="C22">
        <f>B22*(1-Datos!H22)</f>
        <v/>
      </c>
      <c r="D22">
        <f>C22*0.12</f>
        <v/>
      </c>
      <c r="E22">
        <f>C22+D22</f>
        <v/>
      </c>
      <c r="F22">
        <f>IF(E22&gt;=200,"Alto","Normal")</f>
        <v/>
      </c>
      <c r="G22">
        <f>IFS(E22&gt;=400,"Premium",E22&gt;=200,"Medio",TRUE,"Bajo")</f>
        <v/>
      </c>
      <c r="H22">
        <f>AND(Datos!F22&gt;0,Datos!G22&gt;0)</f>
        <v/>
      </c>
      <c r="I22">
        <f>OR(Datos!J22="Abierto",Datos!J22="Pendiente")</f>
        <v/>
      </c>
      <c r="J22">
        <f>IFERROR(B22/(Datos!F22-Datos!F22),"Sin división")</f>
        <v/>
      </c>
      <c r="K22">
        <f>SUMIF(Datos!D$2:D$51,Datos!D22,Calculos!C$2:C$51)</f>
        <v/>
      </c>
      <c r="L22">
        <f>COUNTIF(Datos!J$2:J$51,Datos!J22)</f>
        <v/>
      </c>
      <c r="M22">
        <f>AVERAGEIF(Datos!D$2:D$51,Datos!D22,Calculos!E$2:E$51)</f>
        <v/>
      </c>
      <c r="N22">
        <f>MAX(B$2:B$51)</f>
        <v/>
      </c>
      <c r="O22">
        <f>MIN(B$2:B$51)</f>
        <v/>
      </c>
      <c r="P22">
        <f>ROUND(E22,2)</f>
        <v/>
      </c>
      <c r="Q22">
        <f>MOD(Datos!F22,5)</f>
        <v/>
      </c>
      <c r="R22">
        <f>ABS(Datos!H22-0.1)</f>
        <v/>
      </c>
      <c r="S22">
        <f>SQRT(Datos!F22)</f>
        <v/>
      </c>
      <c r="T22">
        <f>POWER(Datos!G22,2)</f>
        <v/>
      </c>
      <c r="U22">
        <f>RANK(E22,E$2:E$51,0)</f>
        <v/>
      </c>
    </row>
    <row r="23">
      <c r="A23">
        <f>Datos!A23</f>
        <v/>
      </c>
      <c r="B23">
        <f>Datos!F23*Datos!G23</f>
        <v/>
      </c>
      <c r="C23">
        <f>B23*(1-Datos!H23)</f>
        <v/>
      </c>
      <c r="D23">
        <f>C23*0.12</f>
        <v/>
      </c>
      <c r="E23">
        <f>C23+D23</f>
        <v/>
      </c>
      <c r="F23">
        <f>IF(E23&gt;=200,"Alto","Normal")</f>
        <v/>
      </c>
      <c r="G23">
        <f>IFS(E23&gt;=400,"Premium",E23&gt;=200,"Medio",TRUE,"Bajo")</f>
        <v/>
      </c>
      <c r="H23">
        <f>AND(Datos!F23&gt;0,Datos!G23&gt;0)</f>
        <v/>
      </c>
      <c r="I23">
        <f>OR(Datos!J23="Abierto",Datos!J23="Pendiente")</f>
        <v/>
      </c>
      <c r="J23">
        <f>IFERROR(B23/(Datos!F23-Datos!F23),"Sin división")</f>
        <v/>
      </c>
      <c r="K23">
        <f>SUMIF(Datos!D$2:D$51,Datos!D23,Calculos!C$2:C$51)</f>
        <v/>
      </c>
      <c r="L23">
        <f>COUNTIF(Datos!J$2:J$51,Datos!J23)</f>
        <v/>
      </c>
      <c r="M23">
        <f>AVERAGEIF(Datos!D$2:D$51,Datos!D23,Calculos!E$2:E$51)</f>
        <v/>
      </c>
      <c r="N23">
        <f>MAX(B$2:B$51)</f>
        <v/>
      </c>
      <c r="O23">
        <f>MIN(B$2:B$51)</f>
        <v/>
      </c>
      <c r="P23">
        <f>ROUND(E23,2)</f>
        <v/>
      </c>
      <c r="Q23">
        <f>MOD(Datos!F23,5)</f>
        <v/>
      </c>
      <c r="R23">
        <f>ABS(Datos!H23-0.1)</f>
        <v/>
      </c>
      <c r="S23">
        <f>SQRT(Datos!F23)</f>
        <v/>
      </c>
      <c r="T23">
        <f>POWER(Datos!G23,2)</f>
        <v/>
      </c>
      <c r="U23">
        <f>RANK(E23,E$2:E$51,0)</f>
        <v/>
      </c>
    </row>
    <row r="24">
      <c r="A24">
        <f>Datos!A24</f>
        <v/>
      </c>
      <c r="B24">
        <f>Datos!F24*Datos!G24</f>
        <v/>
      </c>
      <c r="C24">
        <f>B24*(1-Datos!H24)</f>
        <v/>
      </c>
      <c r="D24">
        <f>C24*0.12</f>
        <v/>
      </c>
      <c r="E24">
        <f>C24+D24</f>
        <v/>
      </c>
      <c r="F24">
        <f>IF(E24&gt;=200,"Alto","Normal")</f>
        <v/>
      </c>
      <c r="G24">
        <f>IFS(E24&gt;=400,"Premium",E24&gt;=200,"Medio",TRUE,"Bajo")</f>
        <v/>
      </c>
      <c r="H24">
        <f>AND(Datos!F24&gt;0,Datos!G24&gt;0)</f>
        <v/>
      </c>
      <c r="I24">
        <f>OR(Datos!J24="Abierto",Datos!J24="Pendiente")</f>
        <v/>
      </c>
      <c r="J24">
        <f>IFERROR(B24/(Datos!F24-Datos!F24),"Sin división")</f>
        <v/>
      </c>
      <c r="K24">
        <f>SUMIF(Datos!D$2:D$51,Datos!D24,Calculos!C$2:C$51)</f>
        <v/>
      </c>
      <c r="L24">
        <f>COUNTIF(Datos!J$2:J$51,Datos!J24)</f>
        <v/>
      </c>
      <c r="M24">
        <f>AVERAGEIF(Datos!D$2:D$51,Datos!D24,Calculos!E$2:E$51)</f>
        <v/>
      </c>
      <c r="N24">
        <f>MAX(B$2:B$51)</f>
        <v/>
      </c>
      <c r="O24">
        <f>MIN(B$2:B$51)</f>
        <v/>
      </c>
      <c r="P24">
        <f>ROUND(E24,2)</f>
        <v/>
      </c>
      <c r="Q24">
        <f>MOD(Datos!F24,5)</f>
        <v/>
      </c>
      <c r="R24">
        <f>ABS(Datos!H24-0.1)</f>
        <v/>
      </c>
      <c r="S24">
        <f>SQRT(Datos!F24)</f>
        <v/>
      </c>
      <c r="T24">
        <f>POWER(Datos!G24,2)</f>
        <v/>
      </c>
      <c r="U24">
        <f>RANK(E24,E$2:E$51,0)</f>
        <v/>
      </c>
    </row>
    <row r="25">
      <c r="A25">
        <f>Datos!A25</f>
        <v/>
      </c>
      <c r="B25">
        <f>Datos!F25*Datos!G25</f>
        <v/>
      </c>
      <c r="C25">
        <f>B25*(1-Datos!H25)</f>
        <v/>
      </c>
      <c r="D25">
        <f>C25*0.12</f>
        <v/>
      </c>
      <c r="E25">
        <f>C25+D25</f>
        <v/>
      </c>
      <c r="F25">
        <f>IF(E25&gt;=200,"Alto","Normal")</f>
        <v/>
      </c>
      <c r="G25">
        <f>IFS(E25&gt;=400,"Premium",E25&gt;=200,"Medio",TRUE,"Bajo")</f>
        <v/>
      </c>
      <c r="H25">
        <f>AND(Datos!F25&gt;0,Datos!G25&gt;0)</f>
        <v/>
      </c>
      <c r="I25">
        <f>OR(Datos!J25="Abierto",Datos!J25="Pendiente")</f>
        <v/>
      </c>
      <c r="J25">
        <f>IFERROR(B25/(Datos!F25-Datos!F25),"Sin división")</f>
        <v/>
      </c>
      <c r="K25">
        <f>SUMIF(Datos!D$2:D$51,Datos!D25,Calculos!C$2:C$51)</f>
        <v/>
      </c>
      <c r="L25">
        <f>COUNTIF(Datos!J$2:J$51,Datos!J25)</f>
        <v/>
      </c>
      <c r="M25">
        <f>AVERAGEIF(Datos!D$2:D$51,Datos!D25,Calculos!E$2:E$51)</f>
        <v/>
      </c>
      <c r="N25">
        <f>MAX(B$2:B$51)</f>
        <v/>
      </c>
      <c r="O25">
        <f>MIN(B$2:B$51)</f>
        <v/>
      </c>
      <c r="P25">
        <f>ROUND(E25,2)</f>
        <v/>
      </c>
      <c r="Q25">
        <f>MOD(Datos!F25,5)</f>
        <v/>
      </c>
      <c r="R25">
        <f>ABS(Datos!H25-0.1)</f>
        <v/>
      </c>
      <c r="S25">
        <f>SQRT(Datos!F25)</f>
        <v/>
      </c>
      <c r="T25">
        <f>POWER(Datos!G25,2)</f>
        <v/>
      </c>
      <c r="U25">
        <f>RANK(E25,E$2:E$51,0)</f>
        <v/>
      </c>
    </row>
    <row r="26">
      <c r="A26">
        <f>Datos!A26</f>
        <v/>
      </c>
      <c r="B26">
        <f>Datos!F26*Datos!G26</f>
        <v/>
      </c>
      <c r="C26">
        <f>B26*(1-Datos!H26)</f>
        <v/>
      </c>
      <c r="D26">
        <f>C26*0.12</f>
        <v/>
      </c>
      <c r="E26">
        <f>C26+D26</f>
        <v/>
      </c>
      <c r="F26">
        <f>IF(E26&gt;=200,"Alto","Normal")</f>
        <v/>
      </c>
      <c r="G26">
        <f>IFS(E26&gt;=400,"Premium",E26&gt;=200,"Medio",TRUE,"Bajo")</f>
        <v/>
      </c>
      <c r="H26">
        <f>AND(Datos!F26&gt;0,Datos!G26&gt;0)</f>
        <v/>
      </c>
      <c r="I26">
        <f>OR(Datos!J26="Abierto",Datos!J26="Pendiente")</f>
        <v/>
      </c>
      <c r="J26">
        <f>IFERROR(B26/(Datos!F26-Datos!F26),"Sin división")</f>
        <v/>
      </c>
      <c r="K26">
        <f>SUMIF(Datos!D$2:D$51,Datos!D26,Calculos!C$2:C$51)</f>
        <v/>
      </c>
      <c r="L26">
        <f>COUNTIF(Datos!J$2:J$51,Datos!J26)</f>
        <v/>
      </c>
      <c r="M26">
        <f>AVERAGEIF(Datos!D$2:D$51,Datos!D26,Calculos!E$2:E$51)</f>
        <v/>
      </c>
      <c r="N26">
        <f>MAX(B$2:B$51)</f>
        <v/>
      </c>
      <c r="O26">
        <f>MIN(B$2:B$51)</f>
        <v/>
      </c>
      <c r="P26">
        <f>ROUND(E26,2)</f>
        <v/>
      </c>
      <c r="Q26">
        <f>MOD(Datos!F26,5)</f>
        <v/>
      </c>
      <c r="R26">
        <f>ABS(Datos!H26-0.1)</f>
        <v/>
      </c>
      <c r="S26">
        <f>SQRT(Datos!F26)</f>
        <v/>
      </c>
      <c r="T26">
        <f>POWER(Datos!G26,2)</f>
        <v/>
      </c>
      <c r="U26">
        <f>RANK(E26,E$2:E$51,0)</f>
        <v/>
      </c>
    </row>
    <row r="27">
      <c r="A27">
        <f>Datos!A27</f>
        <v/>
      </c>
      <c r="B27">
        <f>Datos!F27*Datos!G27</f>
        <v/>
      </c>
      <c r="C27">
        <f>B27*(1-Datos!H27)</f>
        <v/>
      </c>
      <c r="D27">
        <f>C27*0.12</f>
        <v/>
      </c>
      <c r="E27">
        <f>C27+D27</f>
        <v/>
      </c>
      <c r="F27">
        <f>IF(E27&gt;=200,"Alto","Normal")</f>
        <v/>
      </c>
      <c r="G27">
        <f>IFS(E27&gt;=400,"Premium",E27&gt;=200,"Medio",TRUE,"Bajo")</f>
        <v/>
      </c>
      <c r="H27">
        <f>AND(Datos!F27&gt;0,Datos!G27&gt;0)</f>
        <v/>
      </c>
      <c r="I27">
        <f>OR(Datos!J27="Abierto",Datos!J27="Pendiente")</f>
        <v/>
      </c>
      <c r="J27">
        <f>IFERROR(B27/(Datos!F27-Datos!F27),"Sin división")</f>
        <v/>
      </c>
      <c r="K27">
        <f>SUMIF(Datos!D$2:D$51,Datos!D27,Calculos!C$2:C$51)</f>
        <v/>
      </c>
      <c r="L27">
        <f>COUNTIF(Datos!J$2:J$51,Datos!J27)</f>
        <v/>
      </c>
      <c r="M27">
        <f>AVERAGEIF(Datos!D$2:D$51,Datos!D27,Calculos!E$2:E$51)</f>
        <v/>
      </c>
      <c r="N27">
        <f>MAX(B$2:B$51)</f>
        <v/>
      </c>
      <c r="O27">
        <f>MIN(B$2:B$51)</f>
        <v/>
      </c>
      <c r="P27">
        <f>ROUND(E27,2)</f>
        <v/>
      </c>
      <c r="Q27">
        <f>MOD(Datos!F27,5)</f>
        <v/>
      </c>
      <c r="R27">
        <f>ABS(Datos!H27-0.1)</f>
        <v/>
      </c>
      <c r="S27">
        <f>SQRT(Datos!F27)</f>
        <v/>
      </c>
      <c r="T27">
        <f>POWER(Datos!G27,2)</f>
        <v/>
      </c>
      <c r="U27">
        <f>RANK(E27,E$2:E$51,0)</f>
        <v/>
      </c>
    </row>
    <row r="28">
      <c r="A28">
        <f>Datos!A28</f>
        <v/>
      </c>
      <c r="B28">
        <f>Datos!F28*Datos!G28</f>
        <v/>
      </c>
      <c r="C28">
        <f>B28*(1-Datos!H28)</f>
        <v/>
      </c>
      <c r="D28">
        <f>C28*0.12</f>
        <v/>
      </c>
      <c r="E28">
        <f>C28+D28</f>
        <v/>
      </c>
      <c r="F28">
        <f>IF(E28&gt;=200,"Alto","Normal")</f>
        <v/>
      </c>
      <c r="G28">
        <f>IFS(E28&gt;=400,"Premium",E28&gt;=200,"Medio",TRUE,"Bajo")</f>
        <v/>
      </c>
      <c r="H28">
        <f>AND(Datos!F28&gt;0,Datos!G28&gt;0)</f>
        <v/>
      </c>
      <c r="I28">
        <f>OR(Datos!J28="Abierto",Datos!J28="Pendiente")</f>
        <v/>
      </c>
      <c r="J28">
        <f>IFERROR(B28/(Datos!F28-Datos!F28),"Sin división")</f>
        <v/>
      </c>
      <c r="K28">
        <f>SUMIF(Datos!D$2:D$51,Datos!D28,Calculos!C$2:C$51)</f>
        <v/>
      </c>
      <c r="L28">
        <f>COUNTIF(Datos!J$2:J$51,Datos!J28)</f>
        <v/>
      </c>
      <c r="M28">
        <f>AVERAGEIF(Datos!D$2:D$51,Datos!D28,Calculos!E$2:E$51)</f>
        <v/>
      </c>
      <c r="N28">
        <f>MAX(B$2:B$51)</f>
        <v/>
      </c>
      <c r="O28">
        <f>MIN(B$2:B$51)</f>
        <v/>
      </c>
      <c r="P28">
        <f>ROUND(E28,2)</f>
        <v/>
      </c>
      <c r="Q28">
        <f>MOD(Datos!F28,5)</f>
        <v/>
      </c>
      <c r="R28">
        <f>ABS(Datos!H28-0.1)</f>
        <v/>
      </c>
      <c r="S28">
        <f>SQRT(Datos!F28)</f>
        <v/>
      </c>
      <c r="T28">
        <f>POWER(Datos!G28,2)</f>
        <v/>
      </c>
      <c r="U28">
        <f>RANK(E28,E$2:E$51,0)</f>
        <v/>
      </c>
    </row>
    <row r="29">
      <c r="A29">
        <f>Datos!A29</f>
        <v/>
      </c>
      <c r="B29">
        <f>Datos!F29*Datos!G29</f>
        <v/>
      </c>
      <c r="C29">
        <f>B29*(1-Datos!H29)</f>
        <v/>
      </c>
      <c r="D29">
        <f>C29*0.12</f>
        <v/>
      </c>
      <c r="E29">
        <f>C29+D29</f>
        <v/>
      </c>
      <c r="F29">
        <f>IF(E29&gt;=200,"Alto","Normal")</f>
        <v/>
      </c>
      <c r="G29">
        <f>IFS(E29&gt;=400,"Premium",E29&gt;=200,"Medio",TRUE,"Bajo")</f>
        <v/>
      </c>
      <c r="H29">
        <f>AND(Datos!F29&gt;0,Datos!G29&gt;0)</f>
        <v/>
      </c>
      <c r="I29">
        <f>OR(Datos!J29="Abierto",Datos!J29="Pendiente")</f>
        <v/>
      </c>
      <c r="J29">
        <f>IFERROR(B29/(Datos!F29-Datos!F29),"Sin división")</f>
        <v/>
      </c>
      <c r="K29">
        <f>SUMIF(Datos!D$2:D$51,Datos!D29,Calculos!C$2:C$51)</f>
        <v/>
      </c>
      <c r="L29">
        <f>COUNTIF(Datos!J$2:J$51,Datos!J29)</f>
        <v/>
      </c>
      <c r="M29">
        <f>AVERAGEIF(Datos!D$2:D$51,Datos!D29,Calculos!E$2:E$51)</f>
        <v/>
      </c>
      <c r="N29">
        <f>MAX(B$2:B$51)</f>
        <v/>
      </c>
      <c r="O29">
        <f>MIN(B$2:B$51)</f>
        <v/>
      </c>
      <c r="P29">
        <f>ROUND(E29,2)</f>
        <v/>
      </c>
      <c r="Q29">
        <f>MOD(Datos!F29,5)</f>
        <v/>
      </c>
      <c r="R29">
        <f>ABS(Datos!H29-0.1)</f>
        <v/>
      </c>
      <c r="S29">
        <f>SQRT(Datos!F29)</f>
        <v/>
      </c>
      <c r="T29">
        <f>POWER(Datos!G29,2)</f>
        <v/>
      </c>
      <c r="U29">
        <f>RANK(E29,E$2:E$51,0)</f>
        <v/>
      </c>
    </row>
    <row r="30">
      <c r="A30">
        <f>Datos!A30</f>
        <v/>
      </c>
      <c r="B30">
        <f>Datos!F30*Datos!G30</f>
        <v/>
      </c>
      <c r="C30">
        <f>B30*(1-Datos!H30)</f>
        <v/>
      </c>
      <c r="D30">
        <f>C30*0.12</f>
        <v/>
      </c>
      <c r="E30">
        <f>C30+D30</f>
        <v/>
      </c>
      <c r="F30">
        <f>IF(E30&gt;=200,"Alto","Normal")</f>
        <v/>
      </c>
      <c r="G30">
        <f>IFS(E30&gt;=400,"Premium",E30&gt;=200,"Medio",TRUE,"Bajo")</f>
        <v/>
      </c>
      <c r="H30">
        <f>AND(Datos!F30&gt;0,Datos!G30&gt;0)</f>
        <v/>
      </c>
      <c r="I30">
        <f>OR(Datos!J30="Abierto",Datos!J30="Pendiente")</f>
        <v/>
      </c>
      <c r="J30">
        <f>IFERROR(B30/(Datos!F30-Datos!F30),"Sin división")</f>
        <v/>
      </c>
      <c r="K30">
        <f>SUMIF(Datos!D$2:D$51,Datos!D30,Calculos!C$2:C$51)</f>
        <v/>
      </c>
      <c r="L30">
        <f>COUNTIF(Datos!J$2:J$51,Datos!J30)</f>
        <v/>
      </c>
      <c r="M30">
        <f>AVERAGEIF(Datos!D$2:D$51,Datos!D30,Calculos!E$2:E$51)</f>
        <v/>
      </c>
      <c r="N30">
        <f>MAX(B$2:B$51)</f>
        <v/>
      </c>
      <c r="O30">
        <f>MIN(B$2:B$51)</f>
        <v/>
      </c>
      <c r="P30">
        <f>ROUND(E30,2)</f>
        <v/>
      </c>
      <c r="Q30">
        <f>MOD(Datos!F30,5)</f>
        <v/>
      </c>
      <c r="R30">
        <f>ABS(Datos!H30-0.1)</f>
        <v/>
      </c>
      <c r="S30">
        <f>SQRT(Datos!F30)</f>
        <v/>
      </c>
      <c r="T30">
        <f>POWER(Datos!G30,2)</f>
        <v/>
      </c>
      <c r="U30">
        <f>RANK(E30,E$2:E$51,0)</f>
        <v/>
      </c>
    </row>
    <row r="31">
      <c r="A31">
        <f>Datos!A31</f>
        <v/>
      </c>
      <c r="B31">
        <f>Datos!F31*Datos!G31</f>
        <v/>
      </c>
      <c r="C31">
        <f>B31*(1-Datos!H31)</f>
        <v/>
      </c>
      <c r="D31">
        <f>C31*0.12</f>
        <v/>
      </c>
      <c r="E31">
        <f>C31+D31</f>
        <v/>
      </c>
      <c r="F31">
        <f>IF(E31&gt;=200,"Alto","Normal")</f>
        <v/>
      </c>
      <c r="G31">
        <f>IFS(E31&gt;=400,"Premium",E31&gt;=200,"Medio",TRUE,"Bajo")</f>
        <v/>
      </c>
      <c r="H31">
        <f>AND(Datos!F31&gt;0,Datos!G31&gt;0)</f>
        <v/>
      </c>
      <c r="I31">
        <f>OR(Datos!J31="Abierto",Datos!J31="Pendiente")</f>
        <v/>
      </c>
      <c r="J31">
        <f>IFERROR(B31/(Datos!F31-Datos!F31),"Sin división")</f>
        <v/>
      </c>
      <c r="K31">
        <f>SUMIF(Datos!D$2:D$51,Datos!D31,Calculos!C$2:C$51)</f>
        <v/>
      </c>
      <c r="L31">
        <f>COUNTIF(Datos!J$2:J$51,Datos!J31)</f>
        <v/>
      </c>
      <c r="M31">
        <f>AVERAGEIF(Datos!D$2:D$51,Datos!D31,Calculos!E$2:E$51)</f>
        <v/>
      </c>
      <c r="N31">
        <f>MAX(B$2:B$51)</f>
        <v/>
      </c>
      <c r="O31">
        <f>MIN(B$2:B$51)</f>
        <v/>
      </c>
      <c r="P31">
        <f>ROUND(E31,2)</f>
        <v/>
      </c>
      <c r="Q31">
        <f>MOD(Datos!F31,5)</f>
        <v/>
      </c>
      <c r="R31">
        <f>ABS(Datos!H31-0.1)</f>
        <v/>
      </c>
      <c r="S31">
        <f>SQRT(Datos!F31)</f>
        <v/>
      </c>
      <c r="T31">
        <f>POWER(Datos!G31,2)</f>
        <v/>
      </c>
      <c r="U31">
        <f>RANK(E31,E$2:E$51,0)</f>
        <v/>
      </c>
    </row>
    <row r="32">
      <c r="A32">
        <f>Datos!A32</f>
        <v/>
      </c>
      <c r="B32">
        <f>Datos!F32*Datos!G32</f>
        <v/>
      </c>
      <c r="C32">
        <f>B32*(1-Datos!H32)</f>
        <v/>
      </c>
      <c r="D32">
        <f>C32*0.12</f>
        <v/>
      </c>
      <c r="E32">
        <f>C32+D32</f>
        <v/>
      </c>
      <c r="F32">
        <f>IF(E32&gt;=200,"Alto","Normal")</f>
        <v/>
      </c>
      <c r="G32">
        <f>IFS(E32&gt;=400,"Premium",E32&gt;=200,"Medio",TRUE,"Bajo")</f>
        <v/>
      </c>
      <c r="H32">
        <f>AND(Datos!F32&gt;0,Datos!G32&gt;0)</f>
        <v/>
      </c>
      <c r="I32">
        <f>OR(Datos!J32="Abierto",Datos!J32="Pendiente")</f>
        <v/>
      </c>
      <c r="J32">
        <f>IFERROR(B32/(Datos!F32-Datos!F32),"Sin división")</f>
        <v/>
      </c>
      <c r="K32">
        <f>SUMIF(Datos!D$2:D$51,Datos!D32,Calculos!C$2:C$51)</f>
        <v/>
      </c>
      <c r="L32">
        <f>COUNTIF(Datos!J$2:J$51,Datos!J32)</f>
        <v/>
      </c>
      <c r="M32">
        <f>AVERAGEIF(Datos!D$2:D$51,Datos!D32,Calculos!E$2:E$51)</f>
        <v/>
      </c>
      <c r="N32">
        <f>MAX(B$2:B$51)</f>
        <v/>
      </c>
      <c r="O32">
        <f>MIN(B$2:B$51)</f>
        <v/>
      </c>
      <c r="P32">
        <f>ROUND(E32,2)</f>
        <v/>
      </c>
      <c r="Q32">
        <f>MOD(Datos!F32,5)</f>
        <v/>
      </c>
      <c r="R32">
        <f>ABS(Datos!H32-0.1)</f>
        <v/>
      </c>
      <c r="S32">
        <f>SQRT(Datos!F32)</f>
        <v/>
      </c>
      <c r="T32">
        <f>POWER(Datos!G32,2)</f>
        <v/>
      </c>
      <c r="U32">
        <f>RANK(E32,E$2:E$51,0)</f>
        <v/>
      </c>
    </row>
    <row r="33">
      <c r="A33">
        <f>Datos!A33</f>
        <v/>
      </c>
      <c r="B33">
        <f>Datos!F33*Datos!G33</f>
        <v/>
      </c>
      <c r="C33">
        <f>B33*(1-Datos!H33)</f>
        <v/>
      </c>
      <c r="D33">
        <f>C33*0.12</f>
        <v/>
      </c>
      <c r="E33">
        <f>C33+D33</f>
        <v/>
      </c>
      <c r="F33">
        <f>IF(E33&gt;=200,"Alto","Normal")</f>
        <v/>
      </c>
      <c r="G33">
        <f>IFS(E33&gt;=400,"Premium",E33&gt;=200,"Medio",TRUE,"Bajo")</f>
        <v/>
      </c>
      <c r="H33">
        <f>AND(Datos!F33&gt;0,Datos!G33&gt;0)</f>
        <v/>
      </c>
      <c r="I33">
        <f>OR(Datos!J33="Abierto",Datos!J33="Pendiente")</f>
        <v/>
      </c>
      <c r="J33">
        <f>IFERROR(B33/(Datos!F33-Datos!F33),"Sin división")</f>
        <v/>
      </c>
      <c r="K33">
        <f>SUMIF(Datos!D$2:D$51,Datos!D33,Calculos!C$2:C$51)</f>
        <v/>
      </c>
      <c r="L33">
        <f>COUNTIF(Datos!J$2:J$51,Datos!J33)</f>
        <v/>
      </c>
      <c r="M33">
        <f>AVERAGEIF(Datos!D$2:D$51,Datos!D33,Calculos!E$2:E$51)</f>
        <v/>
      </c>
      <c r="N33">
        <f>MAX(B$2:B$51)</f>
        <v/>
      </c>
      <c r="O33">
        <f>MIN(B$2:B$51)</f>
        <v/>
      </c>
      <c r="P33">
        <f>ROUND(E33,2)</f>
        <v/>
      </c>
      <c r="Q33">
        <f>MOD(Datos!F33,5)</f>
        <v/>
      </c>
      <c r="R33">
        <f>ABS(Datos!H33-0.1)</f>
        <v/>
      </c>
      <c r="S33">
        <f>SQRT(Datos!F33)</f>
        <v/>
      </c>
      <c r="T33">
        <f>POWER(Datos!G33,2)</f>
        <v/>
      </c>
      <c r="U33">
        <f>RANK(E33,E$2:E$51,0)</f>
        <v/>
      </c>
    </row>
    <row r="34">
      <c r="A34">
        <f>Datos!A34</f>
        <v/>
      </c>
      <c r="B34">
        <f>Datos!F34*Datos!G34</f>
        <v/>
      </c>
      <c r="C34">
        <f>B34*(1-Datos!H34)</f>
        <v/>
      </c>
      <c r="D34">
        <f>C34*0.12</f>
        <v/>
      </c>
      <c r="E34">
        <f>C34+D34</f>
        <v/>
      </c>
      <c r="F34">
        <f>IF(E34&gt;=200,"Alto","Normal")</f>
        <v/>
      </c>
      <c r="G34">
        <f>IFS(E34&gt;=400,"Premium",E34&gt;=200,"Medio",TRUE,"Bajo")</f>
        <v/>
      </c>
      <c r="H34">
        <f>AND(Datos!F34&gt;0,Datos!G34&gt;0)</f>
        <v/>
      </c>
      <c r="I34">
        <f>OR(Datos!J34="Abierto",Datos!J34="Pendiente")</f>
        <v/>
      </c>
      <c r="J34">
        <f>IFERROR(B34/(Datos!F34-Datos!F34),"Sin división")</f>
        <v/>
      </c>
      <c r="K34">
        <f>SUMIF(Datos!D$2:D$51,Datos!D34,Calculos!C$2:C$51)</f>
        <v/>
      </c>
      <c r="L34">
        <f>COUNTIF(Datos!J$2:J$51,Datos!J34)</f>
        <v/>
      </c>
      <c r="M34">
        <f>AVERAGEIF(Datos!D$2:D$51,Datos!D34,Calculos!E$2:E$51)</f>
        <v/>
      </c>
      <c r="N34">
        <f>MAX(B$2:B$51)</f>
        <v/>
      </c>
      <c r="O34">
        <f>MIN(B$2:B$51)</f>
        <v/>
      </c>
      <c r="P34">
        <f>ROUND(E34,2)</f>
        <v/>
      </c>
      <c r="Q34">
        <f>MOD(Datos!F34,5)</f>
        <v/>
      </c>
      <c r="R34">
        <f>ABS(Datos!H34-0.1)</f>
        <v/>
      </c>
      <c r="S34">
        <f>SQRT(Datos!F34)</f>
        <v/>
      </c>
      <c r="T34">
        <f>POWER(Datos!G34,2)</f>
        <v/>
      </c>
      <c r="U34">
        <f>RANK(E34,E$2:E$51,0)</f>
        <v/>
      </c>
    </row>
    <row r="35">
      <c r="A35">
        <f>Datos!A35</f>
        <v/>
      </c>
      <c r="B35">
        <f>Datos!F35*Datos!G35</f>
        <v/>
      </c>
      <c r="C35">
        <f>B35*(1-Datos!H35)</f>
        <v/>
      </c>
      <c r="D35">
        <f>C35*0.12</f>
        <v/>
      </c>
      <c r="E35">
        <f>C35+D35</f>
        <v/>
      </c>
      <c r="F35">
        <f>IF(E35&gt;=200,"Alto","Normal")</f>
        <v/>
      </c>
      <c r="G35">
        <f>IFS(E35&gt;=400,"Premium",E35&gt;=200,"Medio",TRUE,"Bajo")</f>
        <v/>
      </c>
      <c r="H35">
        <f>AND(Datos!F35&gt;0,Datos!G35&gt;0)</f>
        <v/>
      </c>
      <c r="I35">
        <f>OR(Datos!J35="Abierto",Datos!J35="Pendiente")</f>
        <v/>
      </c>
      <c r="J35">
        <f>IFERROR(B35/(Datos!F35-Datos!F35),"Sin división")</f>
        <v/>
      </c>
      <c r="K35">
        <f>SUMIF(Datos!D$2:D$51,Datos!D35,Calculos!C$2:C$51)</f>
        <v/>
      </c>
      <c r="L35">
        <f>COUNTIF(Datos!J$2:J$51,Datos!J35)</f>
        <v/>
      </c>
      <c r="M35">
        <f>AVERAGEIF(Datos!D$2:D$51,Datos!D35,Calculos!E$2:E$51)</f>
        <v/>
      </c>
      <c r="N35">
        <f>MAX(B$2:B$51)</f>
        <v/>
      </c>
      <c r="O35">
        <f>MIN(B$2:B$51)</f>
        <v/>
      </c>
      <c r="P35">
        <f>ROUND(E35,2)</f>
        <v/>
      </c>
      <c r="Q35">
        <f>MOD(Datos!F35,5)</f>
        <v/>
      </c>
      <c r="R35">
        <f>ABS(Datos!H35-0.1)</f>
        <v/>
      </c>
      <c r="S35">
        <f>SQRT(Datos!F35)</f>
        <v/>
      </c>
      <c r="T35">
        <f>POWER(Datos!G35,2)</f>
        <v/>
      </c>
      <c r="U35">
        <f>RANK(E35,E$2:E$51,0)</f>
        <v/>
      </c>
    </row>
    <row r="36">
      <c r="A36">
        <f>Datos!A36</f>
        <v/>
      </c>
      <c r="B36">
        <f>Datos!F36*Datos!G36</f>
        <v/>
      </c>
      <c r="C36">
        <f>B36*(1-Datos!H36)</f>
        <v/>
      </c>
      <c r="D36">
        <f>C36*0.12</f>
        <v/>
      </c>
      <c r="E36">
        <f>C36+D36</f>
        <v/>
      </c>
      <c r="F36">
        <f>IF(E36&gt;=200,"Alto","Normal")</f>
        <v/>
      </c>
      <c r="G36">
        <f>IFS(E36&gt;=400,"Premium",E36&gt;=200,"Medio",TRUE,"Bajo")</f>
        <v/>
      </c>
      <c r="H36">
        <f>AND(Datos!F36&gt;0,Datos!G36&gt;0)</f>
        <v/>
      </c>
      <c r="I36">
        <f>OR(Datos!J36="Abierto",Datos!J36="Pendiente")</f>
        <v/>
      </c>
      <c r="J36">
        <f>IFERROR(B36/(Datos!F36-Datos!F36),"Sin división")</f>
        <v/>
      </c>
      <c r="K36">
        <f>SUMIF(Datos!D$2:D$51,Datos!D36,Calculos!C$2:C$51)</f>
        <v/>
      </c>
      <c r="L36">
        <f>COUNTIF(Datos!J$2:J$51,Datos!J36)</f>
        <v/>
      </c>
      <c r="M36">
        <f>AVERAGEIF(Datos!D$2:D$51,Datos!D36,Calculos!E$2:E$51)</f>
        <v/>
      </c>
      <c r="N36">
        <f>MAX(B$2:B$51)</f>
        <v/>
      </c>
      <c r="O36">
        <f>MIN(B$2:B$51)</f>
        <v/>
      </c>
      <c r="P36">
        <f>ROUND(E36,2)</f>
        <v/>
      </c>
      <c r="Q36">
        <f>MOD(Datos!F36,5)</f>
        <v/>
      </c>
      <c r="R36">
        <f>ABS(Datos!H36-0.1)</f>
        <v/>
      </c>
      <c r="S36">
        <f>SQRT(Datos!F36)</f>
        <v/>
      </c>
      <c r="T36">
        <f>POWER(Datos!G36,2)</f>
        <v/>
      </c>
      <c r="U36">
        <f>RANK(E36,E$2:E$51,0)</f>
        <v/>
      </c>
    </row>
    <row r="37">
      <c r="A37">
        <f>Datos!A37</f>
        <v/>
      </c>
      <c r="B37">
        <f>Datos!F37*Datos!G37</f>
        <v/>
      </c>
      <c r="C37">
        <f>B37*(1-Datos!H37)</f>
        <v/>
      </c>
      <c r="D37">
        <f>C37*0.12</f>
        <v/>
      </c>
      <c r="E37">
        <f>C37+D37</f>
        <v/>
      </c>
      <c r="F37">
        <f>IF(E37&gt;=200,"Alto","Normal")</f>
        <v/>
      </c>
      <c r="G37">
        <f>IFS(E37&gt;=400,"Premium",E37&gt;=200,"Medio",TRUE,"Bajo")</f>
        <v/>
      </c>
      <c r="H37">
        <f>AND(Datos!F37&gt;0,Datos!G37&gt;0)</f>
        <v/>
      </c>
      <c r="I37">
        <f>OR(Datos!J37="Abierto",Datos!J37="Pendiente")</f>
        <v/>
      </c>
      <c r="J37">
        <f>IFERROR(B37/(Datos!F37-Datos!F37),"Sin división")</f>
        <v/>
      </c>
      <c r="K37">
        <f>SUMIF(Datos!D$2:D$51,Datos!D37,Calculos!C$2:C$51)</f>
        <v/>
      </c>
      <c r="L37">
        <f>COUNTIF(Datos!J$2:J$51,Datos!J37)</f>
        <v/>
      </c>
      <c r="M37">
        <f>AVERAGEIF(Datos!D$2:D$51,Datos!D37,Calculos!E$2:E$51)</f>
        <v/>
      </c>
      <c r="N37">
        <f>MAX(B$2:B$51)</f>
        <v/>
      </c>
      <c r="O37">
        <f>MIN(B$2:B$51)</f>
        <v/>
      </c>
      <c r="P37">
        <f>ROUND(E37,2)</f>
        <v/>
      </c>
      <c r="Q37">
        <f>MOD(Datos!F37,5)</f>
        <v/>
      </c>
      <c r="R37">
        <f>ABS(Datos!H37-0.1)</f>
        <v/>
      </c>
      <c r="S37">
        <f>SQRT(Datos!F37)</f>
        <v/>
      </c>
      <c r="T37">
        <f>POWER(Datos!G37,2)</f>
        <v/>
      </c>
      <c r="U37">
        <f>RANK(E37,E$2:E$51,0)</f>
        <v/>
      </c>
    </row>
    <row r="38">
      <c r="A38">
        <f>Datos!A38</f>
        <v/>
      </c>
      <c r="B38">
        <f>Datos!F38*Datos!G38</f>
        <v/>
      </c>
      <c r="C38">
        <f>B38*(1-Datos!H38)</f>
        <v/>
      </c>
      <c r="D38">
        <f>C38*0.12</f>
        <v/>
      </c>
      <c r="E38">
        <f>C38+D38</f>
        <v/>
      </c>
      <c r="F38">
        <f>IF(E38&gt;=200,"Alto","Normal")</f>
        <v/>
      </c>
      <c r="G38">
        <f>IFS(E38&gt;=400,"Premium",E38&gt;=200,"Medio",TRUE,"Bajo")</f>
        <v/>
      </c>
      <c r="H38">
        <f>AND(Datos!F38&gt;0,Datos!G38&gt;0)</f>
        <v/>
      </c>
      <c r="I38">
        <f>OR(Datos!J38="Abierto",Datos!J38="Pendiente")</f>
        <v/>
      </c>
      <c r="J38">
        <f>IFERROR(B38/(Datos!F38-Datos!F38),"Sin división")</f>
        <v/>
      </c>
      <c r="K38">
        <f>SUMIF(Datos!D$2:D$51,Datos!D38,Calculos!C$2:C$51)</f>
        <v/>
      </c>
      <c r="L38">
        <f>COUNTIF(Datos!J$2:J$51,Datos!J38)</f>
        <v/>
      </c>
      <c r="M38">
        <f>AVERAGEIF(Datos!D$2:D$51,Datos!D38,Calculos!E$2:E$51)</f>
        <v/>
      </c>
      <c r="N38">
        <f>MAX(B$2:B$51)</f>
        <v/>
      </c>
      <c r="O38">
        <f>MIN(B$2:B$51)</f>
        <v/>
      </c>
      <c r="P38">
        <f>ROUND(E38,2)</f>
        <v/>
      </c>
      <c r="Q38">
        <f>MOD(Datos!F38,5)</f>
        <v/>
      </c>
      <c r="R38">
        <f>ABS(Datos!H38-0.1)</f>
        <v/>
      </c>
      <c r="S38">
        <f>SQRT(Datos!F38)</f>
        <v/>
      </c>
      <c r="T38">
        <f>POWER(Datos!G38,2)</f>
        <v/>
      </c>
      <c r="U38">
        <f>RANK(E38,E$2:E$51,0)</f>
        <v/>
      </c>
    </row>
    <row r="39">
      <c r="A39">
        <f>Datos!A39</f>
        <v/>
      </c>
      <c r="B39">
        <f>Datos!F39*Datos!G39</f>
        <v/>
      </c>
      <c r="C39">
        <f>B39*(1-Datos!H39)</f>
        <v/>
      </c>
      <c r="D39">
        <f>C39*0.12</f>
        <v/>
      </c>
      <c r="E39">
        <f>C39+D39</f>
        <v/>
      </c>
      <c r="F39">
        <f>IF(E39&gt;=200,"Alto","Normal")</f>
        <v/>
      </c>
      <c r="G39">
        <f>IFS(E39&gt;=400,"Premium",E39&gt;=200,"Medio",TRUE,"Bajo")</f>
        <v/>
      </c>
      <c r="H39">
        <f>AND(Datos!F39&gt;0,Datos!G39&gt;0)</f>
        <v/>
      </c>
      <c r="I39">
        <f>OR(Datos!J39="Abierto",Datos!J39="Pendiente")</f>
        <v/>
      </c>
      <c r="J39">
        <f>IFERROR(B39/(Datos!F39-Datos!F39),"Sin división")</f>
        <v/>
      </c>
      <c r="K39">
        <f>SUMIF(Datos!D$2:D$51,Datos!D39,Calculos!C$2:C$51)</f>
        <v/>
      </c>
      <c r="L39">
        <f>COUNTIF(Datos!J$2:J$51,Datos!J39)</f>
        <v/>
      </c>
      <c r="M39">
        <f>AVERAGEIF(Datos!D$2:D$51,Datos!D39,Calculos!E$2:E$51)</f>
        <v/>
      </c>
      <c r="N39">
        <f>MAX(B$2:B$51)</f>
        <v/>
      </c>
      <c r="O39">
        <f>MIN(B$2:B$51)</f>
        <v/>
      </c>
      <c r="P39">
        <f>ROUND(E39,2)</f>
        <v/>
      </c>
      <c r="Q39">
        <f>MOD(Datos!F39,5)</f>
        <v/>
      </c>
      <c r="R39">
        <f>ABS(Datos!H39-0.1)</f>
        <v/>
      </c>
      <c r="S39">
        <f>SQRT(Datos!F39)</f>
        <v/>
      </c>
      <c r="T39">
        <f>POWER(Datos!G39,2)</f>
        <v/>
      </c>
      <c r="U39">
        <f>RANK(E39,E$2:E$51,0)</f>
        <v/>
      </c>
    </row>
    <row r="40">
      <c r="A40">
        <f>Datos!A40</f>
        <v/>
      </c>
      <c r="B40">
        <f>Datos!F40*Datos!G40</f>
        <v/>
      </c>
      <c r="C40">
        <f>B40*(1-Datos!H40)</f>
        <v/>
      </c>
      <c r="D40">
        <f>C40*0.12</f>
        <v/>
      </c>
      <c r="E40">
        <f>C40+D40</f>
        <v/>
      </c>
      <c r="F40">
        <f>IF(E40&gt;=200,"Alto","Normal")</f>
        <v/>
      </c>
      <c r="G40">
        <f>IFS(E40&gt;=400,"Premium",E40&gt;=200,"Medio",TRUE,"Bajo")</f>
        <v/>
      </c>
      <c r="H40">
        <f>AND(Datos!F40&gt;0,Datos!G40&gt;0)</f>
        <v/>
      </c>
      <c r="I40">
        <f>OR(Datos!J40="Abierto",Datos!J40="Pendiente")</f>
        <v/>
      </c>
      <c r="J40">
        <f>IFERROR(B40/(Datos!F40-Datos!F40),"Sin división")</f>
        <v/>
      </c>
      <c r="K40">
        <f>SUMIF(Datos!D$2:D$51,Datos!D40,Calculos!C$2:C$51)</f>
        <v/>
      </c>
      <c r="L40">
        <f>COUNTIF(Datos!J$2:J$51,Datos!J40)</f>
        <v/>
      </c>
      <c r="M40">
        <f>AVERAGEIF(Datos!D$2:D$51,Datos!D40,Calculos!E$2:E$51)</f>
        <v/>
      </c>
      <c r="N40">
        <f>MAX(B$2:B$51)</f>
        <v/>
      </c>
      <c r="O40">
        <f>MIN(B$2:B$51)</f>
        <v/>
      </c>
      <c r="P40">
        <f>ROUND(E40,2)</f>
        <v/>
      </c>
      <c r="Q40">
        <f>MOD(Datos!F40,5)</f>
        <v/>
      </c>
      <c r="R40">
        <f>ABS(Datos!H40-0.1)</f>
        <v/>
      </c>
      <c r="S40">
        <f>SQRT(Datos!F40)</f>
        <v/>
      </c>
      <c r="T40">
        <f>POWER(Datos!G40,2)</f>
        <v/>
      </c>
      <c r="U40">
        <f>RANK(E40,E$2:E$51,0)</f>
        <v/>
      </c>
    </row>
    <row r="41">
      <c r="A41">
        <f>Datos!A41</f>
        <v/>
      </c>
      <c r="B41">
        <f>Datos!F41*Datos!G41</f>
        <v/>
      </c>
      <c r="C41">
        <f>B41*(1-Datos!H41)</f>
        <v/>
      </c>
      <c r="D41">
        <f>C41*0.12</f>
        <v/>
      </c>
      <c r="E41">
        <f>C41+D41</f>
        <v/>
      </c>
      <c r="F41">
        <f>IF(E41&gt;=200,"Alto","Normal")</f>
        <v/>
      </c>
      <c r="G41">
        <f>IFS(E41&gt;=400,"Premium",E41&gt;=200,"Medio",TRUE,"Bajo")</f>
        <v/>
      </c>
      <c r="H41">
        <f>AND(Datos!F41&gt;0,Datos!G41&gt;0)</f>
        <v/>
      </c>
      <c r="I41">
        <f>OR(Datos!J41="Abierto",Datos!J41="Pendiente")</f>
        <v/>
      </c>
      <c r="J41">
        <f>IFERROR(B41/(Datos!F41-Datos!F41),"Sin división")</f>
        <v/>
      </c>
      <c r="K41">
        <f>SUMIF(Datos!D$2:D$51,Datos!D41,Calculos!C$2:C$51)</f>
        <v/>
      </c>
      <c r="L41">
        <f>COUNTIF(Datos!J$2:J$51,Datos!J41)</f>
        <v/>
      </c>
      <c r="M41">
        <f>AVERAGEIF(Datos!D$2:D$51,Datos!D41,Calculos!E$2:E$51)</f>
        <v/>
      </c>
      <c r="N41">
        <f>MAX(B$2:B$51)</f>
        <v/>
      </c>
      <c r="O41">
        <f>MIN(B$2:B$51)</f>
        <v/>
      </c>
      <c r="P41">
        <f>ROUND(E41,2)</f>
        <v/>
      </c>
      <c r="Q41">
        <f>MOD(Datos!F41,5)</f>
        <v/>
      </c>
      <c r="R41">
        <f>ABS(Datos!H41-0.1)</f>
        <v/>
      </c>
      <c r="S41">
        <f>SQRT(Datos!F41)</f>
        <v/>
      </c>
      <c r="T41">
        <f>POWER(Datos!G41,2)</f>
        <v/>
      </c>
      <c r="U41">
        <f>RANK(E41,E$2:E$51,0)</f>
        <v/>
      </c>
    </row>
    <row r="42">
      <c r="A42">
        <f>Datos!A42</f>
        <v/>
      </c>
      <c r="B42">
        <f>Datos!F42*Datos!G42</f>
        <v/>
      </c>
      <c r="C42">
        <f>B42*(1-Datos!H42)</f>
        <v/>
      </c>
      <c r="D42">
        <f>C42*0.12</f>
        <v/>
      </c>
      <c r="E42">
        <f>C42+D42</f>
        <v/>
      </c>
      <c r="F42">
        <f>IF(E42&gt;=200,"Alto","Normal")</f>
        <v/>
      </c>
      <c r="G42">
        <f>IFS(E42&gt;=400,"Premium",E42&gt;=200,"Medio",TRUE,"Bajo")</f>
        <v/>
      </c>
      <c r="H42">
        <f>AND(Datos!F42&gt;0,Datos!G42&gt;0)</f>
        <v/>
      </c>
      <c r="I42">
        <f>OR(Datos!J42="Abierto",Datos!J42="Pendiente")</f>
        <v/>
      </c>
      <c r="J42">
        <f>IFERROR(B42/(Datos!F42-Datos!F42),"Sin división")</f>
        <v/>
      </c>
      <c r="K42">
        <f>SUMIF(Datos!D$2:D$51,Datos!D42,Calculos!C$2:C$51)</f>
        <v/>
      </c>
      <c r="L42">
        <f>COUNTIF(Datos!J$2:J$51,Datos!J42)</f>
        <v/>
      </c>
      <c r="M42">
        <f>AVERAGEIF(Datos!D$2:D$51,Datos!D42,Calculos!E$2:E$51)</f>
        <v/>
      </c>
      <c r="N42">
        <f>MAX(B$2:B$51)</f>
        <v/>
      </c>
      <c r="O42">
        <f>MIN(B$2:B$51)</f>
        <v/>
      </c>
      <c r="P42">
        <f>ROUND(E42,2)</f>
        <v/>
      </c>
      <c r="Q42">
        <f>MOD(Datos!F42,5)</f>
        <v/>
      </c>
      <c r="R42">
        <f>ABS(Datos!H42-0.1)</f>
        <v/>
      </c>
      <c r="S42">
        <f>SQRT(Datos!F42)</f>
        <v/>
      </c>
      <c r="T42">
        <f>POWER(Datos!G42,2)</f>
        <v/>
      </c>
      <c r="U42">
        <f>RANK(E42,E$2:E$51,0)</f>
        <v/>
      </c>
    </row>
    <row r="43">
      <c r="A43">
        <f>Datos!A43</f>
        <v/>
      </c>
      <c r="B43">
        <f>Datos!F43*Datos!G43</f>
        <v/>
      </c>
      <c r="C43">
        <f>B43*(1-Datos!H43)</f>
        <v/>
      </c>
      <c r="D43">
        <f>C43*0.12</f>
        <v/>
      </c>
      <c r="E43">
        <f>C43+D43</f>
        <v/>
      </c>
      <c r="F43">
        <f>IF(E43&gt;=200,"Alto","Normal")</f>
        <v/>
      </c>
      <c r="G43">
        <f>IFS(E43&gt;=400,"Premium",E43&gt;=200,"Medio",TRUE,"Bajo")</f>
        <v/>
      </c>
      <c r="H43">
        <f>AND(Datos!F43&gt;0,Datos!G43&gt;0)</f>
        <v/>
      </c>
      <c r="I43">
        <f>OR(Datos!J43="Abierto",Datos!J43="Pendiente")</f>
        <v/>
      </c>
      <c r="J43">
        <f>IFERROR(B43/(Datos!F43-Datos!F43),"Sin división")</f>
        <v/>
      </c>
      <c r="K43">
        <f>SUMIF(Datos!D$2:D$51,Datos!D43,Calculos!C$2:C$51)</f>
        <v/>
      </c>
      <c r="L43">
        <f>COUNTIF(Datos!J$2:J$51,Datos!J43)</f>
        <v/>
      </c>
      <c r="M43">
        <f>AVERAGEIF(Datos!D$2:D$51,Datos!D43,Calculos!E$2:E$51)</f>
        <v/>
      </c>
      <c r="N43">
        <f>MAX(B$2:B$51)</f>
        <v/>
      </c>
      <c r="O43">
        <f>MIN(B$2:B$51)</f>
        <v/>
      </c>
      <c r="P43">
        <f>ROUND(E43,2)</f>
        <v/>
      </c>
      <c r="Q43">
        <f>MOD(Datos!F43,5)</f>
        <v/>
      </c>
      <c r="R43">
        <f>ABS(Datos!H43-0.1)</f>
        <v/>
      </c>
      <c r="S43">
        <f>SQRT(Datos!F43)</f>
        <v/>
      </c>
      <c r="T43">
        <f>POWER(Datos!G43,2)</f>
        <v/>
      </c>
      <c r="U43">
        <f>RANK(E43,E$2:E$51,0)</f>
        <v/>
      </c>
    </row>
    <row r="44">
      <c r="A44">
        <f>Datos!A44</f>
        <v/>
      </c>
      <c r="B44">
        <f>Datos!F44*Datos!G44</f>
        <v/>
      </c>
      <c r="C44">
        <f>B44*(1-Datos!H44)</f>
        <v/>
      </c>
      <c r="D44">
        <f>C44*0.12</f>
        <v/>
      </c>
      <c r="E44">
        <f>C44+D44</f>
        <v/>
      </c>
      <c r="F44">
        <f>IF(E44&gt;=200,"Alto","Normal")</f>
        <v/>
      </c>
      <c r="G44">
        <f>IFS(E44&gt;=400,"Premium",E44&gt;=200,"Medio",TRUE,"Bajo")</f>
        <v/>
      </c>
      <c r="H44">
        <f>AND(Datos!F44&gt;0,Datos!G44&gt;0)</f>
        <v/>
      </c>
      <c r="I44">
        <f>OR(Datos!J44="Abierto",Datos!J44="Pendiente")</f>
        <v/>
      </c>
      <c r="J44">
        <f>IFERROR(B44/(Datos!F44-Datos!F44),"Sin división")</f>
        <v/>
      </c>
      <c r="K44">
        <f>SUMIF(Datos!D$2:D$51,Datos!D44,Calculos!C$2:C$51)</f>
        <v/>
      </c>
      <c r="L44">
        <f>COUNTIF(Datos!J$2:J$51,Datos!J44)</f>
        <v/>
      </c>
      <c r="M44">
        <f>AVERAGEIF(Datos!D$2:D$51,Datos!D44,Calculos!E$2:E$51)</f>
        <v/>
      </c>
      <c r="N44">
        <f>MAX(B$2:B$51)</f>
        <v/>
      </c>
      <c r="O44">
        <f>MIN(B$2:B$51)</f>
        <v/>
      </c>
      <c r="P44">
        <f>ROUND(E44,2)</f>
        <v/>
      </c>
      <c r="Q44">
        <f>MOD(Datos!F44,5)</f>
        <v/>
      </c>
      <c r="R44">
        <f>ABS(Datos!H44-0.1)</f>
        <v/>
      </c>
      <c r="S44">
        <f>SQRT(Datos!F44)</f>
        <v/>
      </c>
      <c r="T44">
        <f>POWER(Datos!G44,2)</f>
        <v/>
      </c>
      <c r="U44">
        <f>RANK(E44,E$2:E$51,0)</f>
        <v/>
      </c>
    </row>
    <row r="45">
      <c r="A45">
        <f>Datos!A45</f>
        <v/>
      </c>
      <c r="B45">
        <f>Datos!F45*Datos!G45</f>
        <v/>
      </c>
      <c r="C45">
        <f>B45*(1-Datos!H45)</f>
        <v/>
      </c>
      <c r="D45">
        <f>C45*0.12</f>
        <v/>
      </c>
      <c r="E45">
        <f>C45+D45</f>
        <v/>
      </c>
      <c r="F45">
        <f>IF(E45&gt;=200,"Alto","Normal")</f>
        <v/>
      </c>
      <c r="G45">
        <f>IFS(E45&gt;=400,"Premium",E45&gt;=200,"Medio",TRUE,"Bajo")</f>
        <v/>
      </c>
      <c r="H45">
        <f>AND(Datos!F45&gt;0,Datos!G45&gt;0)</f>
        <v/>
      </c>
      <c r="I45">
        <f>OR(Datos!J45="Abierto",Datos!J45="Pendiente")</f>
        <v/>
      </c>
      <c r="J45">
        <f>IFERROR(B45/(Datos!F45-Datos!F45),"Sin división")</f>
        <v/>
      </c>
      <c r="K45">
        <f>SUMIF(Datos!D$2:D$51,Datos!D45,Calculos!C$2:C$51)</f>
        <v/>
      </c>
      <c r="L45">
        <f>COUNTIF(Datos!J$2:J$51,Datos!J45)</f>
        <v/>
      </c>
      <c r="M45">
        <f>AVERAGEIF(Datos!D$2:D$51,Datos!D45,Calculos!E$2:E$51)</f>
        <v/>
      </c>
      <c r="N45">
        <f>MAX(B$2:B$51)</f>
        <v/>
      </c>
      <c r="O45">
        <f>MIN(B$2:B$51)</f>
        <v/>
      </c>
      <c r="P45">
        <f>ROUND(E45,2)</f>
        <v/>
      </c>
      <c r="Q45">
        <f>MOD(Datos!F45,5)</f>
        <v/>
      </c>
      <c r="R45">
        <f>ABS(Datos!H45-0.1)</f>
        <v/>
      </c>
      <c r="S45">
        <f>SQRT(Datos!F45)</f>
        <v/>
      </c>
      <c r="T45">
        <f>POWER(Datos!G45,2)</f>
        <v/>
      </c>
      <c r="U45">
        <f>RANK(E45,E$2:E$51,0)</f>
        <v/>
      </c>
    </row>
    <row r="46">
      <c r="A46">
        <f>Datos!A46</f>
        <v/>
      </c>
      <c r="B46">
        <f>Datos!F46*Datos!G46</f>
        <v/>
      </c>
      <c r="C46">
        <f>B46*(1-Datos!H46)</f>
        <v/>
      </c>
      <c r="D46">
        <f>C46*0.12</f>
        <v/>
      </c>
      <c r="E46">
        <f>C46+D46</f>
        <v/>
      </c>
      <c r="F46">
        <f>IF(E46&gt;=200,"Alto","Normal")</f>
        <v/>
      </c>
      <c r="G46">
        <f>IFS(E46&gt;=400,"Premium",E46&gt;=200,"Medio",TRUE,"Bajo")</f>
        <v/>
      </c>
      <c r="H46">
        <f>AND(Datos!F46&gt;0,Datos!G46&gt;0)</f>
        <v/>
      </c>
      <c r="I46">
        <f>OR(Datos!J46="Abierto",Datos!J46="Pendiente")</f>
        <v/>
      </c>
      <c r="J46">
        <f>IFERROR(B46/(Datos!F46-Datos!F46),"Sin división")</f>
        <v/>
      </c>
      <c r="K46">
        <f>SUMIF(Datos!D$2:D$51,Datos!D46,Calculos!C$2:C$51)</f>
        <v/>
      </c>
      <c r="L46">
        <f>COUNTIF(Datos!J$2:J$51,Datos!J46)</f>
        <v/>
      </c>
      <c r="M46">
        <f>AVERAGEIF(Datos!D$2:D$51,Datos!D46,Calculos!E$2:E$51)</f>
        <v/>
      </c>
      <c r="N46">
        <f>MAX(B$2:B$51)</f>
        <v/>
      </c>
      <c r="O46">
        <f>MIN(B$2:B$51)</f>
        <v/>
      </c>
      <c r="P46">
        <f>ROUND(E46,2)</f>
        <v/>
      </c>
      <c r="Q46">
        <f>MOD(Datos!F46,5)</f>
        <v/>
      </c>
      <c r="R46">
        <f>ABS(Datos!H46-0.1)</f>
        <v/>
      </c>
      <c r="S46">
        <f>SQRT(Datos!F46)</f>
        <v/>
      </c>
      <c r="T46">
        <f>POWER(Datos!G46,2)</f>
        <v/>
      </c>
      <c r="U46">
        <f>RANK(E46,E$2:E$51,0)</f>
        <v/>
      </c>
    </row>
    <row r="47">
      <c r="A47">
        <f>Datos!A47</f>
        <v/>
      </c>
      <c r="B47">
        <f>Datos!F47*Datos!G47</f>
        <v/>
      </c>
      <c r="C47">
        <f>B47*(1-Datos!H47)</f>
        <v/>
      </c>
      <c r="D47">
        <f>C47*0.12</f>
        <v/>
      </c>
      <c r="E47">
        <f>C47+D47</f>
        <v/>
      </c>
      <c r="F47">
        <f>IF(E47&gt;=200,"Alto","Normal")</f>
        <v/>
      </c>
      <c r="G47">
        <f>IFS(E47&gt;=400,"Premium",E47&gt;=200,"Medio",TRUE,"Bajo")</f>
        <v/>
      </c>
      <c r="H47">
        <f>AND(Datos!F47&gt;0,Datos!G47&gt;0)</f>
        <v/>
      </c>
      <c r="I47">
        <f>OR(Datos!J47="Abierto",Datos!J47="Pendiente")</f>
        <v/>
      </c>
      <c r="J47">
        <f>IFERROR(B47/(Datos!F47-Datos!F47),"Sin división")</f>
        <v/>
      </c>
      <c r="K47">
        <f>SUMIF(Datos!D$2:D$51,Datos!D47,Calculos!C$2:C$51)</f>
        <v/>
      </c>
      <c r="L47">
        <f>COUNTIF(Datos!J$2:J$51,Datos!J47)</f>
        <v/>
      </c>
      <c r="M47">
        <f>AVERAGEIF(Datos!D$2:D$51,Datos!D47,Calculos!E$2:E$51)</f>
        <v/>
      </c>
      <c r="N47">
        <f>MAX(B$2:B$51)</f>
        <v/>
      </c>
      <c r="O47">
        <f>MIN(B$2:B$51)</f>
        <v/>
      </c>
      <c r="P47">
        <f>ROUND(E47,2)</f>
        <v/>
      </c>
      <c r="Q47">
        <f>MOD(Datos!F47,5)</f>
        <v/>
      </c>
      <c r="R47">
        <f>ABS(Datos!H47-0.1)</f>
        <v/>
      </c>
      <c r="S47">
        <f>SQRT(Datos!F47)</f>
        <v/>
      </c>
      <c r="T47">
        <f>POWER(Datos!G47,2)</f>
        <v/>
      </c>
      <c r="U47">
        <f>RANK(E47,E$2:E$51,0)</f>
        <v/>
      </c>
    </row>
    <row r="48">
      <c r="A48">
        <f>Datos!A48</f>
        <v/>
      </c>
      <c r="B48">
        <f>Datos!F48*Datos!G48</f>
        <v/>
      </c>
      <c r="C48">
        <f>B48*(1-Datos!H48)</f>
        <v/>
      </c>
      <c r="D48">
        <f>C48*0.12</f>
        <v/>
      </c>
      <c r="E48">
        <f>C48+D48</f>
        <v/>
      </c>
      <c r="F48">
        <f>IF(E48&gt;=200,"Alto","Normal")</f>
        <v/>
      </c>
      <c r="G48">
        <f>IFS(E48&gt;=400,"Premium",E48&gt;=200,"Medio",TRUE,"Bajo")</f>
        <v/>
      </c>
      <c r="H48">
        <f>AND(Datos!F48&gt;0,Datos!G48&gt;0)</f>
        <v/>
      </c>
      <c r="I48">
        <f>OR(Datos!J48="Abierto",Datos!J48="Pendiente")</f>
        <v/>
      </c>
      <c r="J48">
        <f>IFERROR(B48/(Datos!F48-Datos!F48),"Sin división")</f>
        <v/>
      </c>
      <c r="K48">
        <f>SUMIF(Datos!D$2:D$51,Datos!D48,Calculos!C$2:C$51)</f>
        <v/>
      </c>
      <c r="L48">
        <f>COUNTIF(Datos!J$2:J$51,Datos!J48)</f>
        <v/>
      </c>
      <c r="M48">
        <f>AVERAGEIF(Datos!D$2:D$51,Datos!D48,Calculos!E$2:E$51)</f>
        <v/>
      </c>
      <c r="N48">
        <f>MAX(B$2:B$51)</f>
        <v/>
      </c>
      <c r="O48">
        <f>MIN(B$2:B$51)</f>
        <v/>
      </c>
      <c r="P48">
        <f>ROUND(E48,2)</f>
        <v/>
      </c>
      <c r="Q48">
        <f>MOD(Datos!F48,5)</f>
        <v/>
      </c>
      <c r="R48">
        <f>ABS(Datos!H48-0.1)</f>
        <v/>
      </c>
      <c r="S48">
        <f>SQRT(Datos!F48)</f>
        <v/>
      </c>
      <c r="T48">
        <f>POWER(Datos!G48,2)</f>
        <v/>
      </c>
      <c r="U48">
        <f>RANK(E48,E$2:E$51,0)</f>
        <v/>
      </c>
    </row>
    <row r="49">
      <c r="A49">
        <f>Datos!A49</f>
        <v/>
      </c>
      <c r="B49">
        <f>Datos!F49*Datos!G49</f>
        <v/>
      </c>
      <c r="C49">
        <f>B49*(1-Datos!H49)</f>
        <v/>
      </c>
      <c r="D49">
        <f>C49*0.12</f>
        <v/>
      </c>
      <c r="E49">
        <f>C49+D49</f>
        <v/>
      </c>
      <c r="F49">
        <f>IF(E49&gt;=200,"Alto","Normal")</f>
        <v/>
      </c>
      <c r="G49">
        <f>IFS(E49&gt;=400,"Premium",E49&gt;=200,"Medio",TRUE,"Bajo")</f>
        <v/>
      </c>
      <c r="H49">
        <f>AND(Datos!F49&gt;0,Datos!G49&gt;0)</f>
        <v/>
      </c>
      <c r="I49">
        <f>OR(Datos!J49="Abierto",Datos!J49="Pendiente")</f>
        <v/>
      </c>
      <c r="J49">
        <f>IFERROR(B49/(Datos!F49-Datos!F49),"Sin división")</f>
        <v/>
      </c>
      <c r="K49">
        <f>SUMIF(Datos!D$2:D$51,Datos!D49,Calculos!C$2:C$51)</f>
        <v/>
      </c>
      <c r="L49">
        <f>COUNTIF(Datos!J$2:J$51,Datos!J49)</f>
        <v/>
      </c>
      <c r="M49">
        <f>AVERAGEIF(Datos!D$2:D$51,Datos!D49,Calculos!E$2:E$51)</f>
        <v/>
      </c>
      <c r="N49">
        <f>MAX(B$2:B$51)</f>
        <v/>
      </c>
      <c r="O49">
        <f>MIN(B$2:B$51)</f>
        <v/>
      </c>
      <c r="P49">
        <f>ROUND(E49,2)</f>
        <v/>
      </c>
      <c r="Q49">
        <f>MOD(Datos!F49,5)</f>
        <v/>
      </c>
      <c r="R49">
        <f>ABS(Datos!H49-0.1)</f>
        <v/>
      </c>
      <c r="S49">
        <f>SQRT(Datos!F49)</f>
        <v/>
      </c>
      <c r="T49">
        <f>POWER(Datos!G49,2)</f>
        <v/>
      </c>
      <c r="U49">
        <f>RANK(E49,E$2:E$51,0)</f>
        <v/>
      </c>
    </row>
    <row r="50">
      <c r="A50">
        <f>Datos!A50</f>
        <v/>
      </c>
      <c r="B50">
        <f>Datos!F50*Datos!G50</f>
        <v/>
      </c>
      <c r="C50">
        <f>B50*(1-Datos!H50)</f>
        <v/>
      </c>
      <c r="D50">
        <f>C50*0.12</f>
        <v/>
      </c>
      <c r="E50">
        <f>C50+D50</f>
        <v/>
      </c>
      <c r="F50">
        <f>IF(E50&gt;=200,"Alto","Normal")</f>
        <v/>
      </c>
      <c r="G50">
        <f>IFS(E50&gt;=400,"Premium",E50&gt;=200,"Medio",TRUE,"Bajo")</f>
        <v/>
      </c>
      <c r="H50">
        <f>AND(Datos!F50&gt;0,Datos!G50&gt;0)</f>
        <v/>
      </c>
      <c r="I50">
        <f>OR(Datos!J50="Abierto",Datos!J50="Pendiente")</f>
        <v/>
      </c>
      <c r="J50">
        <f>IFERROR(B50/(Datos!F50-Datos!F50),"Sin división")</f>
        <v/>
      </c>
      <c r="K50">
        <f>SUMIF(Datos!D$2:D$51,Datos!D50,Calculos!C$2:C$51)</f>
        <v/>
      </c>
      <c r="L50">
        <f>COUNTIF(Datos!J$2:J$51,Datos!J50)</f>
        <v/>
      </c>
      <c r="M50">
        <f>AVERAGEIF(Datos!D$2:D$51,Datos!D50,Calculos!E$2:E$51)</f>
        <v/>
      </c>
      <c r="N50">
        <f>MAX(B$2:B$51)</f>
        <v/>
      </c>
      <c r="O50">
        <f>MIN(B$2:B$51)</f>
        <v/>
      </c>
      <c r="P50">
        <f>ROUND(E50,2)</f>
        <v/>
      </c>
      <c r="Q50">
        <f>MOD(Datos!F50,5)</f>
        <v/>
      </c>
      <c r="R50">
        <f>ABS(Datos!H50-0.1)</f>
        <v/>
      </c>
      <c r="S50">
        <f>SQRT(Datos!F50)</f>
        <v/>
      </c>
      <c r="T50">
        <f>POWER(Datos!G50,2)</f>
        <v/>
      </c>
      <c r="U50">
        <f>RANK(E50,E$2:E$51,0)</f>
        <v/>
      </c>
    </row>
    <row r="51">
      <c r="A51">
        <f>Datos!A51</f>
        <v/>
      </c>
      <c r="B51">
        <f>Datos!F51*Datos!G51</f>
        <v/>
      </c>
      <c r="C51">
        <f>B51*(1-Datos!H51)</f>
        <v/>
      </c>
      <c r="D51">
        <f>C51*0.12</f>
        <v/>
      </c>
      <c r="E51">
        <f>C51+D51</f>
        <v/>
      </c>
      <c r="F51">
        <f>IF(E51&gt;=200,"Alto","Normal")</f>
        <v/>
      </c>
      <c r="G51">
        <f>IFS(E51&gt;=400,"Premium",E51&gt;=200,"Medio",TRUE,"Bajo")</f>
        <v/>
      </c>
      <c r="H51">
        <f>AND(Datos!F51&gt;0,Datos!G51&gt;0)</f>
        <v/>
      </c>
      <c r="I51">
        <f>OR(Datos!J51="Abierto",Datos!J51="Pendiente")</f>
        <v/>
      </c>
      <c r="J51">
        <f>IFERROR(B51/(Datos!F51-Datos!F51),"Sin división")</f>
        <v/>
      </c>
      <c r="K51">
        <f>SUMIF(Datos!D$2:D$51,Datos!D51,Calculos!C$2:C$51)</f>
        <v/>
      </c>
      <c r="L51">
        <f>COUNTIF(Datos!J$2:J$51,Datos!J51)</f>
        <v/>
      </c>
      <c r="M51">
        <f>AVERAGEIF(Datos!D$2:D$51,Datos!D51,Calculos!E$2:E$51)</f>
        <v/>
      </c>
      <c r="N51">
        <f>MAX(B$2:B$51)</f>
        <v/>
      </c>
      <c r="O51">
        <f>MIN(B$2:B$51)</f>
        <v/>
      </c>
      <c r="P51">
        <f>ROUND(E51,2)</f>
        <v/>
      </c>
      <c r="Q51">
        <f>MOD(Datos!F51,5)</f>
        <v/>
      </c>
      <c r="R51">
        <f>ABS(Datos!H51-0.1)</f>
        <v/>
      </c>
      <c r="S51">
        <f>SQRT(Datos!F51)</f>
        <v/>
      </c>
      <c r="T51">
        <f>POWER(Datos!G51,2)</f>
        <v/>
      </c>
      <c r="U51">
        <f>RANK(E51,E$2:E$51,0)</f>
        <v/>
      </c>
    </row>
  </sheetData>
  <autoFilter ref="A1:U51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X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34" customWidth="1" min="4" max="4"/>
    <col width="13" customWidth="1" min="5" max="5"/>
    <col width="13" customWidth="1" min="6" max="6"/>
    <col width="14" customWidth="1" min="7" max="7"/>
    <col width="14" customWidth="1" min="8" max="8"/>
    <col width="15" customWidth="1" min="9" max="9"/>
    <col width="15" customWidth="1" min="10" max="10"/>
    <col width="12" customWidth="1" min="11" max="11"/>
    <col width="16" customWidth="1" min="12" max="12"/>
    <col width="26" customWidth="1" min="13" max="13"/>
    <col width="22" customWidth="1" min="14" max="14"/>
    <col width="31" customWidth="1" min="15" max="15"/>
    <col width="34" customWidth="1" min="16" max="16"/>
    <col width="18" customWidth="1" min="17" max="17"/>
    <col width="19" customWidth="1" min="18" max="18"/>
    <col width="17" customWidth="1" min="19" max="19"/>
    <col width="23" customWidth="1" min="20" max="20"/>
    <col width="21" customWidth="1" min="21" max="21"/>
    <col width="23" customWidth="1" min="22" max="22"/>
    <col width="20" customWidth="1" min="23" max="23"/>
    <col width="34" customWidth="1" min="24" max="24"/>
  </cols>
  <sheetData>
    <row r="1">
      <c r="A1" s="1" t="inlineStr">
        <is>
          <t>ID</t>
        </is>
      </c>
      <c r="B1" s="1" t="inlineStr">
        <is>
          <t>Nombre completo (&amp;)</t>
        </is>
      </c>
      <c r="C1" s="1" t="inlineStr">
        <is>
          <t>CONCAT</t>
        </is>
      </c>
      <c r="D1" s="1" t="inlineStr">
        <is>
          <t>CONCATENATE</t>
        </is>
      </c>
      <c r="E1" s="1" t="inlineStr">
        <is>
          <t>UPPER</t>
        </is>
      </c>
      <c r="F1" s="1" t="inlineStr">
        <is>
          <t>LOWER</t>
        </is>
      </c>
      <c r="G1" s="1" t="inlineStr">
        <is>
          <t>PROPER</t>
        </is>
      </c>
      <c r="H1" s="1" t="inlineStr">
        <is>
          <t>LEFT</t>
        </is>
      </c>
      <c r="I1" s="1" t="inlineStr">
        <is>
          <t>RIGHT</t>
        </is>
      </c>
      <c r="J1" s="1" t="inlineStr">
        <is>
          <t>MID</t>
        </is>
      </c>
      <c r="K1" s="1" t="inlineStr">
        <is>
          <t>LEN</t>
        </is>
      </c>
      <c r="L1" s="1" t="inlineStr">
        <is>
          <t>FIND</t>
        </is>
      </c>
      <c r="M1" s="1" t="inlineStr">
        <is>
          <t>SUBSTITUTE</t>
        </is>
      </c>
      <c r="N1" s="1" t="inlineStr">
        <is>
          <t>TRIM</t>
        </is>
      </c>
      <c r="O1" s="1" t="inlineStr">
        <is>
          <t>TEXT</t>
        </is>
      </c>
      <c r="P1" s="1" t="inlineStr">
        <is>
          <t>DATE</t>
        </is>
      </c>
      <c r="Q1" s="1" t="inlineStr">
        <is>
          <t>YEAR</t>
        </is>
      </c>
      <c r="R1" s="1" t="inlineStr">
        <is>
          <t>MONTH</t>
        </is>
      </c>
      <c r="S1" s="1" t="inlineStr">
        <is>
          <t>DAY</t>
        </is>
      </c>
      <c r="T1" s="1" t="inlineStr">
        <is>
          <t>WEEKDAY</t>
        </is>
      </c>
      <c r="U1" s="1" t="inlineStr">
        <is>
          <t>EDATE</t>
        </is>
      </c>
      <c r="V1" s="1" t="inlineStr">
        <is>
          <t>EOMONTH</t>
        </is>
      </c>
      <c r="W1" s="1" t="inlineStr">
        <is>
          <t>Días transcurridos</t>
        </is>
      </c>
      <c r="X1" s="1" t="inlineStr">
        <is>
          <t>NETWORKDAYS</t>
        </is>
      </c>
    </row>
    <row r="2">
      <c r="A2">
        <f>Datos!A2</f>
        <v/>
      </c>
      <c r="B2">
        <f>Datos!B2&amp;" "&amp;Datos!C2</f>
        <v/>
      </c>
      <c r="C2">
        <f>CONCAT(Datos!B2," ",Datos!C2)</f>
        <v/>
      </c>
      <c r="D2">
        <f>CONCATENATE(Datos!B2,"-",Datos!C2)</f>
        <v/>
      </c>
      <c r="E2">
        <f>UPPER(B2)</f>
        <v/>
      </c>
      <c r="F2">
        <f>LOWER(B2)</f>
        <v/>
      </c>
      <c r="G2">
        <f>PROPER(B2)</f>
        <v/>
      </c>
      <c r="H2">
        <f>LEFT(B2,3)</f>
        <v/>
      </c>
      <c r="I2">
        <f>RIGHT(B2,4)</f>
        <v/>
      </c>
      <c r="J2">
        <f>MID(B2,2,5)</f>
        <v/>
      </c>
      <c r="K2">
        <f>LEN(B2)</f>
        <v/>
      </c>
      <c r="L2">
        <f>FIND(" ",B2)</f>
        <v/>
      </c>
      <c r="M2">
        <f>SUBSTITUTE(B2," ","_")</f>
        <v/>
      </c>
      <c r="N2">
        <f>TRIM("  "&amp;B2&amp;"  ")</f>
        <v/>
      </c>
      <c r="O2">
        <f>TEXT(Datos!I2,"yyyy-mm-dd")</f>
        <v/>
      </c>
      <c r="P2" s="4">
        <f>DATE(YEAR(Datos!I2),MONTH(Datos!I2),DAY(Datos!I2))</f>
        <v/>
      </c>
      <c r="Q2">
        <f>YEAR(Datos!I2)</f>
        <v/>
      </c>
      <c r="R2">
        <f>MONTH(Datos!I2)</f>
        <v/>
      </c>
      <c r="S2">
        <f>DAY(Datos!I2)</f>
        <v/>
      </c>
      <c r="T2">
        <f>WEEKDAY(Datos!I2,2)</f>
        <v/>
      </c>
      <c r="U2" s="4">
        <f>EDATE(Datos!I2,2)</f>
        <v/>
      </c>
      <c r="V2" s="4">
        <f>EOMONTH(Datos!I2,0)</f>
        <v/>
      </c>
      <c r="W2">
        <f>TODAY()-Datos!I2</f>
        <v/>
      </c>
      <c r="X2">
        <f>NETWORKDAYS(Datos!I2,Datos!I2+10)</f>
        <v/>
      </c>
    </row>
    <row r="3">
      <c r="A3">
        <f>Datos!A3</f>
        <v/>
      </c>
      <c r="B3">
        <f>Datos!B3&amp;" "&amp;Datos!C3</f>
        <v/>
      </c>
      <c r="C3">
        <f>CONCAT(Datos!B3," ",Datos!C3)</f>
        <v/>
      </c>
      <c r="D3">
        <f>CONCATENATE(Datos!B3,"-",Datos!C3)</f>
        <v/>
      </c>
      <c r="E3">
        <f>UPPER(B3)</f>
        <v/>
      </c>
      <c r="F3">
        <f>LOWER(B3)</f>
        <v/>
      </c>
      <c r="G3">
        <f>PROPER(B3)</f>
        <v/>
      </c>
      <c r="H3">
        <f>LEFT(B3,3)</f>
        <v/>
      </c>
      <c r="I3">
        <f>RIGHT(B3,4)</f>
        <v/>
      </c>
      <c r="J3">
        <f>MID(B3,2,5)</f>
        <v/>
      </c>
      <c r="K3">
        <f>LEN(B3)</f>
        <v/>
      </c>
      <c r="L3">
        <f>FIND(" ",B3)</f>
        <v/>
      </c>
      <c r="M3">
        <f>SUBSTITUTE(B3," ","_")</f>
        <v/>
      </c>
      <c r="N3">
        <f>TRIM("  "&amp;B3&amp;"  ")</f>
        <v/>
      </c>
      <c r="O3">
        <f>TEXT(Datos!I3,"yyyy-mm-dd")</f>
        <v/>
      </c>
      <c r="P3" s="4">
        <f>DATE(YEAR(Datos!I3),MONTH(Datos!I3),DAY(Datos!I3))</f>
        <v/>
      </c>
      <c r="Q3">
        <f>YEAR(Datos!I3)</f>
        <v/>
      </c>
      <c r="R3">
        <f>MONTH(Datos!I3)</f>
        <v/>
      </c>
      <c r="S3">
        <f>DAY(Datos!I3)</f>
        <v/>
      </c>
      <c r="T3">
        <f>WEEKDAY(Datos!I3,2)</f>
        <v/>
      </c>
      <c r="U3" s="4">
        <f>EDATE(Datos!I3,2)</f>
        <v/>
      </c>
      <c r="V3" s="4">
        <f>EOMONTH(Datos!I3,0)</f>
        <v/>
      </c>
      <c r="W3">
        <f>TODAY()-Datos!I3</f>
        <v/>
      </c>
      <c r="X3">
        <f>NETWORKDAYS(Datos!I3,Datos!I3+10)</f>
        <v/>
      </c>
    </row>
    <row r="4">
      <c r="A4">
        <f>Datos!A4</f>
        <v/>
      </c>
      <c r="B4">
        <f>Datos!B4&amp;" "&amp;Datos!C4</f>
        <v/>
      </c>
      <c r="C4">
        <f>CONCAT(Datos!B4," ",Datos!C4)</f>
        <v/>
      </c>
      <c r="D4">
        <f>CONCATENATE(Datos!B4,"-",Datos!C4)</f>
        <v/>
      </c>
      <c r="E4">
        <f>UPPER(B4)</f>
        <v/>
      </c>
      <c r="F4">
        <f>LOWER(B4)</f>
        <v/>
      </c>
      <c r="G4">
        <f>PROPER(B4)</f>
        <v/>
      </c>
      <c r="H4">
        <f>LEFT(B4,3)</f>
        <v/>
      </c>
      <c r="I4">
        <f>RIGHT(B4,4)</f>
        <v/>
      </c>
      <c r="J4">
        <f>MID(B4,2,5)</f>
        <v/>
      </c>
      <c r="K4">
        <f>LEN(B4)</f>
        <v/>
      </c>
      <c r="L4">
        <f>FIND(" ",B4)</f>
        <v/>
      </c>
      <c r="M4">
        <f>SUBSTITUTE(B4," ","_")</f>
        <v/>
      </c>
      <c r="N4">
        <f>TRIM("  "&amp;B4&amp;"  ")</f>
        <v/>
      </c>
      <c r="O4">
        <f>TEXT(Datos!I4,"yyyy-mm-dd")</f>
        <v/>
      </c>
      <c r="P4" s="4">
        <f>DATE(YEAR(Datos!I4),MONTH(Datos!I4),DAY(Datos!I4))</f>
        <v/>
      </c>
      <c r="Q4">
        <f>YEAR(Datos!I4)</f>
        <v/>
      </c>
      <c r="R4">
        <f>MONTH(Datos!I4)</f>
        <v/>
      </c>
      <c r="S4">
        <f>DAY(Datos!I4)</f>
        <v/>
      </c>
      <c r="T4">
        <f>WEEKDAY(Datos!I4,2)</f>
        <v/>
      </c>
      <c r="U4" s="4">
        <f>EDATE(Datos!I4,2)</f>
        <v/>
      </c>
      <c r="V4" s="4">
        <f>EOMONTH(Datos!I4,0)</f>
        <v/>
      </c>
      <c r="W4">
        <f>TODAY()-Datos!I4</f>
        <v/>
      </c>
      <c r="X4">
        <f>NETWORKDAYS(Datos!I4,Datos!I4+10)</f>
        <v/>
      </c>
    </row>
    <row r="5">
      <c r="A5">
        <f>Datos!A5</f>
        <v/>
      </c>
      <c r="B5">
        <f>Datos!B5&amp;" "&amp;Datos!C5</f>
        <v/>
      </c>
      <c r="C5">
        <f>CONCAT(Datos!B5," ",Datos!C5)</f>
        <v/>
      </c>
      <c r="D5">
        <f>CONCATENATE(Datos!B5,"-",Datos!C5)</f>
        <v/>
      </c>
      <c r="E5">
        <f>UPPER(B5)</f>
        <v/>
      </c>
      <c r="F5">
        <f>LOWER(B5)</f>
        <v/>
      </c>
      <c r="G5">
        <f>PROPER(B5)</f>
        <v/>
      </c>
      <c r="H5">
        <f>LEFT(B5,3)</f>
        <v/>
      </c>
      <c r="I5">
        <f>RIGHT(B5,4)</f>
        <v/>
      </c>
      <c r="J5">
        <f>MID(B5,2,5)</f>
        <v/>
      </c>
      <c r="K5">
        <f>LEN(B5)</f>
        <v/>
      </c>
      <c r="L5">
        <f>FIND(" ",B5)</f>
        <v/>
      </c>
      <c r="M5">
        <f>SUBSTITUTE(B5," ","_")</f>
        <v/>
      </c>
      <c r="N5">
        <f>TRIM("  "&amp;B5&amp;"  ")</f>
        <v/>
      </c>
      <c r="O5">
        <f>TEXT(Datos!I5,"yyyy-mm-dd")</f>
        <v/>
      </c>
      <c r="P5" s="4">
        <f>DATE(YEAR(Datos!I5),MONTH(Datos!I5),DAY(Datos!I5))</f>
        <v/>
      </c>
      <c r="Q5">
        <f>YEAR(Datos!I5)</f>
        <v/>
      </c>
      <c r="R5">
        <f>MONTH(Datos!I5)</f>
        <v/>
      </c>
      <c r="S5">
        <f>DAY(Datos!I5)</f>
        <v/>
      </c>
      <c r="T5">
        <f>WEEKDAY(Datos!I5,2)</f>
        <v/>
      </c>
      <c r="U5" s="4">
        <f>EDATE(Datos!I5,2)</f>
        <v/>
      </c>
      <c r="V5" s="4">
        <f>EOMONTH(Datos!I5,0)</f>
        <v/>
      </c>
      <c r="W5">
        <f>TODAY()-Datos!I5</f>
        <v/>
      </c>
      <c r="X5">
        <f>NETWORKDAYS(Datos!I5,Datos!I5+10)</f>
        <v/>
      </c>
    </row>
    <row r="6">
      <c r="A6">
        <f>Datos!A6</f>
        <v/>
      </c>
      <c r="B6">
        <f>Datos!B6&amp;" "&amp;Datos!C6</f>
        <v/>
      </c>
      <c r="C6">
        <f>CONCAT(Datos!B6," ",Datos!C6)</f>
        <v/>
      </c>
      <c r="D6">
        <f>CONCATENATE(Datos!B6,"-",Datos!C6)</f>
        <v/>
      </c>
      <c r="E6">
        <f>UPPER(B6)</f>
        <v/>
      </c>
      <c r="F6">
        <f>LOWER(B6)</f>
        <v/>
      </c>
      <c r="G6">
        <f>PROPER(B6)</f>
        <v/>
      </c>
      <c r="H6">
        <f>LEFT(B6,3)</f>
        <v/>
      </c>
      <c r="I6">
        <f>RIGHT(B6,4)</f>
        <v/>
      </c>
      <c r="J6">
        <f>MID(B6,2,5)</f>
        <v/>
      </c>
      <c r="K6">
        <f>LEN(B6)</f>
        <v/>
      </c>
      <c r="L6">
        <f>FIND(" ",B6)</f>
        <v/>
      </c>
      <c r="M6">
        <f>SUBSTITUTE(B6," ","_")</f>
        <v/>
      </c>
      <c r="N6">
        <f>TRIM("  "&amp;B6&amp;"  ")</f>
        <v/>
      </c>
      <c r="O6">
        <f>TEXT(Datos!I6,"yyyy-mm-dd")</f>
        <v/>
      </c>
      <c r="P6" s="4">
        <f>DATE(YEAR(Datos!I6),MONTH(Datos!I6),DAY(Datos!I6))</f>
        <v/>
      </c>
      <c r="Q6">
        <f>YEAR(Datos!I6)</f>
        <v/>
      </c>
      <c r="R6">
        <f>MONTH(Datos!I6)</f>
        <v/>
      </c>
      <c r="S6">
        <f>DAY(Datos!I6)</f>
        <v/>
      </c>
      <c r="T6">
        <f>WEEKDAY(Datos!I6,2)</f>
        <v/>
      </c>
      <c r="U6" s="4">
        <f>EDATE(Datos!I6,2)</f>
        <v/>
      </c>
      <c r="V6" s="4">
        <f>EOMONTH(Datos!I6,0)</f>
        <v/>
      </c>
      <c r="W6">
        <f>TODAY()-Datos!I6</f>
        <v/>
      </c>
      <c r="X6">
        <f>NETWORKDAYS(Datos!I6,Datos!I6+10)</f>
        <v/>
      </c>
    </row>
    <row r="7">
      <c r="A7">
        <f>Datos!A7</f>
        <v/>
      </c>
      <c r="B7">
        <f>Datos!B7&amp;" "&amp;Datos!C7</f>
        <v/>
      </c>
      <c r="C7">
        <f>CONCAT(Datos!B7," ",Datos!C7)</f>
        <v/>
      </c>
      <c r="D7">
        <f>CONCATENATE(Datos!B7,"-",Datos!C7)</f>
        <v/>
      </c>
      <c r="E7">
        <f>UPPER(B7)</f>
        <v/>
      </c>
      <c r="F7">
        <f>LOWER(B7)</f>
        <v/>
      </c>
      <c r="G7">
        <f>PROPER(B7)</f>
        <v/>
      </c>
      <c r="H7">
        <f>LEFT(B7,3)</f>
        <v/>
      </c>
      <c r="I7">
        <f>RIGHT(B7,4)</f>
        <v/>
      </c>
      <c r="J7">
        <f>MID(B7,2,5)</f>
        <v/>
      </c>
      <c r="K7">
        <f>LEN(B7)</f>
        <v/>
      </c>
      <c r="L7">
        <f>FIND(" ",B7)</f>
        <v/>
      </c>
      <c r="M7">
        <f>SUBSTITUTE(B7," ","_")</f>
        <v/>
      </c>
      <c r="N7">
        <f>TRIM("  "&amp;B7&amp;"  ")</f>
        <v/>
      </c>
      <c r="O7">
        <f>TEXT(Datos!I7,"yyyy-mm-dd")</f>
        <v/>
      </c>
      <c r="P7" s="4">
        <f>DATE(YEAR(Datos!I7),MONTH(Datos!I7),DAY(Datos!I7))</f>
        <v/>
      </c>
      <c r="Q7">
        <f>YEAR(Datos!I7)</f>
        <v/>
      </c>
      <c r="R7">
        <f>MONTH(Datos!I7)</f>
        <v/>
      </c>
      <c r="S7">
        <f>DAY(Datos!I7)</f>
        <v/>
      </c>
      <c r="T7">
        <f>WEEKDAY(Datos!I7,2)</f>
        <v/>
      </c>
      <c r="U7" s="4">
        <f>EDATE(Datos!I7,2)</f>
        <v/>
      </c>
      <c r="V7" s="4">
        <f>EOMONTH(Datos!I7,0)</f>
        <v/>
      </c>
      <c r="W7">
        <f>TODAY()-Datos!I7</f>
        <v/>
      </c>
      <c r="X7">
        <f>NETWORKDAYS(Datos!I7,Datos!I7+10)</f>
        <v/>
      </c>
    </row>
    <row r="8">
      <c r="A8">
        <f>Datos!A8</f>
        <v/>
      </c>
      <c r="B8">
        <f>Datos!B8&amp;" "&amp;Datos!C8</f>
        <v/>
      </c>
      <c r="C8">
        <f>CONCAT(Datos!B8," ",Datos!C8)</f>
        <v/>
      </c>
      <c r="D8">
        <f>CONCATENATE(Datos!B8,"-",Datos!C8)</f>
        <v/>
      </c>
      <c r="E8">
        <f>UPPER(B8)</f>
        <v/>
      </c>
      <c r="F8">
        <f>LOWER(B8)</f>
        <v/>
      </c>
      <c r="G8">
        <f>PROPER(B8)</f>
        <v/>
      </c>
      <c r="H8">
        <f>LEFT(B8,3)</f>
        <v/>
      </c>
      <c r="I8">
        <f>RIGHT(B8,4)</f>
        <v/>
      </c>
      <c r="J8">
        <f>MID(B8,2,5)</f>
        <v/>
      </c>
      <c r="K8">
        <f>LEN(B8)</f>
        <v/>
      </c>
      <c r="L8">
        <f>FIND(" ",B8)</f>
        <v/>
      </c>
      <c r="M8">
        <f>SUBSTITUTE(B8," ","_")</f>
        <v/>
      </c>
      <c r="N8">
        <f>TRIM("  "&amp;B8&amp;"  ")</f>
        <v/>
      </c>
      <c r="O8">
        <f>TEXT(Datos!I8,"yyyy-mm-dd")</f>
        <v/>
      </c>
      <c r="P8" s="4">
        <f>DATE(YEAR(Datos!I8),MONTH(Datos!I8),DAY(Datos!I8))</f>
        <v/>
      </c>
      <c r="Q8">
        <f>YEAR(Datos!I8)</f>
        <v/>
      </c>
      <c r="R8">
        <f>MONTH(Datos!I8)</f>
        <v/>
      </c>
      <c r="S8">
        <f>DAY(Datos!I8)</f>
        <v/>
      </c>
      <c r="T8">
        <f>WEEKDAY(Datos!I8,2)</f>
        <v/>
      </c>
      <c r="U8" s="4">
        <f>EDATE(Datos!I8,2)</f>
        <v/>
      </c>
      <c r="V8" s="4">
        <f>EOMONTH(Datos!I8,0)</f>
        <v/>
      </c>
      <c r="W8">
        <f>TODAY()-Datos!I8</f>
        <v/>
      </c>
      <c r="X8">
        <f>NETWORKDAYS(Datos!I8,Datos!I8+10)</f>
        <v/>
      </c>
    </row>
    <row r="9">
      <c r="A9">
        <f>Datos!A9</f>
        <v/>
      </c>
      <c r="B9">
        <f>Datos!B9&amp;" "&amp;Datos!C9</f>
        <v/>
      </c>
      <c r="C9">
        <f>CONCAT(Datos!B9," ",Datos!C9)</f>
        <v/>
      </c>
      <c r="D9">
        <f>CONCATENATE(Datos!B9,"-",Datos!C9)</f>
        <v/>
      </c>
      <c r="E9">
        <f>UPPER(B9)</f>
        <v/>
      </c>
      <c r="F9">
        <f>LOWER(B9)</f>
        <v/>
      </c>
      <c r="G9">
        <f>PROPER(B9)</f>
        <v/>
      </c>
      <c r="H9">
        <f>LEFT(B9,3)</f>
        <v/>
      </c>
      <c r="I9">
        <f>RIGHT(B9,4)</f>
        <v/>
      </c>
      <c r="J9">
        <f>MID(B9,2,5)</f>
        <v/>
      </c>
      <c r="K9">
        <f>LEN(B9)</f>
        <v/>
      </c>
      <c r="L9">
        <f>FIND(" ",B9)</f>
        <v/>
      </c>
      <c r="M9">
        <f>SUBSTITUTE(B9," ","_")</f>
        <v/>
      </c>
      <c r="N9">
        <f>TRIM("  "&amp;B9&amp;"  ")</f>
        <v/>
      </c>
      <c r="O9">
        <f>TEXT(Datos!I9,"yyyy-mm-dd")</f>
        <v/>
      </c>
      <c r="P9" s="4">
        <f>DATE(YEAR(Datos!I9),MONTH(Datos!I9),DAY(Datos!I9))</f>
        <v/>
      </c>
      <c r="Q9">
        <f>YEAR(Datos!I9)</f>
        <v/>
      </c>
      <c r="R9">
        <f>MONTH(Datos!I9)</f>
        <v/>
      </c>
      <c r="S9">
        <f>DAY(Datos!I9)</f>
        <v/>
      </c>
      <c r="T9">
        <f>WEEKDAY(Datos!I9,2)</f>
        <v/>
      </c>
      <c r="U9" s="4">
        <f>EDATE(Datos!I9,2)</f>
        <v/>
      </c>
      <c r="V9" s="4">
        <f>EOMONTH(Datos!I9,0)</f>
        <v/>
      </c>
      <c r="W9">
        <f>TODAY()-Datos!I9</f>
        <v/>
      </c>
      <c r="X9">
        <f>NETWORKDAYS(Datos!I9,Datos!I9+10)</f>
        <v/>
      </c>
    </row>
    <row r="10">
      <c r="A10">
        <f>Datos!A10</f>
        <v/>
      </c>
      <c r="B10">
        <f>Datos!B10&amp;" "&amp;Datos!C10</f>
        <v/>
      </c>
      <c r="C10">
        <f>CONCAT(Datos!B10," ",Datos!C10)</f>
        <v/>
      </c>
      <c r="D10">
        <f>CONCATENATE(Datos!B10,"-",Datos!C10)</f>
        <v/>
      </c>
      <c r="E10">
        <f>UPPER(B10)</f>
        <v/>
      </c>
      <c r="F10">
        <f>LOWER(B10)</f>
        <v/>
      </c>
      <c r="G10">
        <f>PROPER(B10)</f>
        <v/>
      </c>
      <c r="H10">
        <f>LEFT(B10,3)</f>
        <v/>
      </c>
      <c r="I10">
        <f>RIGHT(B10,4)</f>
        <v/>
      </c>
      <c r="J10">
        <f>MID(B10,2,5)</f>
        <v/>
      </c>
      <c r="K10">
        <f>LEN(B10)</f>
        <v/>
      </c>
      <c r="L10">
        <f>FIND(" ",B10)</f>
        <v/>
      </c>
      <c r="M10">
        <f>SUBSTITUTE(B10," ","_")</f>
        <v/>
      </c>
      <c r="N10">
        <f>TRIM("  "&amp;B10&amp;"  ")</f>
        <v/>
      </c>
      <c r="O10">
        <f>TEXT(Datos!I10,"yyyy-mm-dd")</f>
        <v/>
      </c>
      <c r="P10" s="4">
        <f>DATE(YEAR(Datos!I10),MONTH(Datos!I10),DAY(Datos!I10))</f>
        <v/>
      </c>
      <c r="Q10">
        <f>YEAR(Datos!I10)</f>
        <v/>
      </c>
      <c r="R10">
        <f>MONTH(Datos!I10)</f>
        <v/>
      </c>
      <c r="S10">
        <f>DAY(Datos!I10)</f>
        <v/>
      </c>
      <c r="T10">
        <f>WEEKDAY(Datos!I10,2)</f>
        <v/>
      </c>
      <c r="U10" s="4">
        <f>EDATE(Datos!I10,2)</f>
        <v/>
      </c>
      <c r="V10" s="4">
        <f>EOMONTH(Datos!I10,0)</f>
        <v/>
      </c>
      <c r="W10">
        <f>TODAY()-Datos!I10</f>
        <v/>
      </c>
      <c r="X10">
        <f>NETWORKDAYS(Datos!I10,Datos!I10+10)</f>
        <v/>
      </c>
    </row>
    <row r="11">
      <c r="A11">
        <f>Datos!A11</f>
        <v/>
      </c>
      <c r="B11">
        <f>Datos!B11&amp;" "&amp;Datos!C11</f>
        <v/>
      </c>
      <c r="C11">
        <f>CONCAT(Datos!B11," ",Datos!C11)</f>
        <v/>
      </c>
      <c r="D11">
        <f>CONCATENATE(Datos!B11,"-",Datos!C11)</f>
        <v/>
      </c>
      <c r="E11">
        <f>UPPER(B11)</f>
        <v/>
      </c>
      <c r="F11">
        <f>LOWER(B11)</f>
        <v/>
      </c>
      <c r="G11">
        <f>PROPER(B11)</f>
        <v/>
      </c>
      <c r="H11">
        <f>LEFT(B11,3)</f>
        <v/>
      </c>
      <c r="I11">
        <f>RIGHT(B11,4)</f>
        <v/>
      </c>
      <c r="J11">
        <f>MID(B11,2,5)</f>
        <v/>
      </c>
      <c r="K11">
        <f>LEN(B11)</f>
        <v/>
      </c>
      <c r="L11">
        <f>FIND(" ",B11)</f>
        <v/>
      </c>
      <c r="M11">
        <f>SUBSTITUTE(B11," ","_")</f>
        <v/>
      </c>
      <c r="N11">
        <f>TRIM("  "&amp;B11&amp;"  ")</f>
        <v/>
      </c>
      <c r="O11">
        <f>TEXT(Datos!I11,"yyyy-mm-dd")</f>
        <v/>
      </c>
      <c r="P11" s="4">
        <f>DATE(YEAR(Datos!I11),MONTH(Datos!I11),DAY(Datos!I11))</f>
        <v/>
      </c>
      <c r="Q11">
        <f>YEAR(Datos!I11)</f>
        <v/>
      </c>
      <c r="R11">
        <f>MONTH(Datos!I11)</f>
        <v/>
      </c>
      <c r="S11">
        <f>DAY(Datos!I11)</f>
        <v/>
      </c>
      <c r="T11">
        <f>WEEKDAY(Datos!I11,2)</f>
        <v/>
      </c>
      <c r="U11" s="4">
        <f>EDATE(Datos!I11,2)</f>
        <v/>
      </c>
      <c r="V11" s="4">
        <f>EOMONTH(Datos!I11,0)</f>
        <v/>
      </c>
      <c r="W11">
        <f>TODAY()-Datos!I11</f>
        <v/>
      </c>
      <c r="X11">
        <f>NETWORKDAYS(Datos!I11,Datos!I11+10)</f>
        <v/>
      </c>
    </row>
    <row r="12">
      <c r="A12">
        <f>Datos!A12</f>
        <v/>
      </c>
      <c r="B12">
        <f>Datos!B12&amp;" "&amp;Datos!C12</f>
        <v/>
      </c>
      <c r="C12">
        <f>CONCAT(Datos!B12," ",Datos!C12)</f>
        <v/>
      </c>
      <c r="D12">
        <f>CONCATENATE(Datos!B12,"-",Datos!C12)</f>
        <v/>
      </c>
      <c r="E12">
        <f>UPPER(B12)</f>
        <v/>
      </c>
      <c r="F12">
        <f>LOWER(B12)</f>
        <v/>
      </c>
      <c r="G12">
        <f>PROPER(B12)</f>
        <v/>
      </c>
      <c r="H12">
        <f>LEFT(B12,3)</f>
        <v/>
      </c>
      <c r="I12">
        <f>RIGHT(B12,4)</f>
        <v/>
      </c>
      <c r="J12">
        <f>MID(B12,2,5)</f>
        <v/>
      </c>
      <c r="K12">
        <f>LEN(B12)</f>
        <v/>
      </c>
      <c r="L12">
        <f>FIND(" ",B12)</f>
        <v/>
      </c>
      <c r="M12">
        <f>SUBSTITUTE(B12," ","_")</f>
        <v/>
      </c>
      <c r="N12">
        <f>TRIM("  "&amp;B12&amp;"  ")</f>
        <v/>
      </c>
      <c r="O12">
        <f>TEXT(Datos!I12,"yyyy-mm-dd")</f>
        <v/>
      </c>
      <c r="P12" s="4">
        <f>DATE(YEAR(Datos!I12),MONTH(Datos!I12),DAY(Datos!I12))</f>
        <v/>
      </c>
      <c r="Q12">
        <f>YEAR(Datos!I12)</f>
        <v/>
      </c>
      <c r="R12">
        <f>MONTH(Datos!I12)</f>
        <v/>
      </c>
      <c r="S12">
        <f>DAY(Datos!I12)</f>
        <v/>
      </c>
      <c r="T12">
        <f>WEEKDAY(Datos!I12,2)</f>
        <v/>
      </c>
      <c r="U12" s="4">
        <f>EDATE(Datos!I12,2)</f>
        <v/>
      </c>
      <c r="V12" s="4">
        <f>EOMONTH(Datos!I12,0)</f>
        <v/>
      </c>
      <c r="W12">
        <f>TODAY()-Datos!I12</f>
        <v/>
      </c>
      <c r="X12">
        <f>NETWORKDAYS(Datos!I12,Datos!I12+10)</f>
        <v/>
      </c>
    </row>
    <row r="13">
      <c r="A13">
        <f>Datos!A13</f>
        <v/>
      </c>
      <c r="B13">
        <f>Datos!B13&amp;" "&amp;Datos!C13</f>
        <v/>
      </c>
      <c r="C13">
        <f>CONCAT(Datos!B13," ",Datos!C13)</f>
        <v/>
      </c>
      <c r="D13">
        <f>CONCATENATE(Datos!B13,"-",Datos!C13)</f>
        <v/>
      </c>
      <c r="E13">
        <f>UPPER(B13)</f>
        <v/>
      </c>
      <c r="F13">
        <f>LOWER(B13)</f>
        <v/>
      </c>
      <c r="G13">
        <f>PROPER(B13)</f>
        <v/>
      </c>
      <c r="H13">
        <f>LEFT(B13,3)</f>
        <v/>
      </c>
      <c r="I13">
        <f>RIGHT(B13,4)</f>
        <v/>
      </c>
      <c r="J13">
        <f>MID(B13,2,5)</f>
        <v/>
      </c>
      <c r="K13">
        <f>LEN(B13)</f>
        <v/>
      </c>
      <c r="L13">
        <f>FIND(" ",B13)</f>
        <v/>
      </c>
      <c r="M13">
        <f>SUBSTITUTE(B13," ","_")</f>
        <v/>
      </c>
      <c r="N13">
        <f>TRIM("  "&amp;B13&amp;"  ")</f>
        <v/>
      </c>
      <c r="O13">
        <f>TEXT(Datos!I13,"yyyy-mm-dd")</f>
        <v/>
      </c>
      <c r="P13" s="4">
        <f>DATE(YEAR(Datos!I13),MONTH(Datos!I13),DAY(Datos!I13))</f>
        <v/>
      </c>
      <c r="Q13">
        <f>YEAR(Datos!I13)</f>
        <v/>
      </c>
      <c r="R13">
        <f>MONTH(Datos!I13)</f>
        <v/>
      </c>
      <c r="S13">
        <f>DAY(Datos!I13)</f>
        <v/>
      </c>
      <c r="T13">
        <f>WEEKDAY(Datos!I13,2)</f>
        <v/>
      </c>
      <c r="U13" s="4">
        <f>EDATE(Datos!I13,2)</f>
        <v/>
      </c>
      <c r="V13" s="4">
        <f>EOMONTH(Datos!I13,0)</f>
        <v/>
      </c>
      <c r="W13">
        <f>TODAY()-Datos!I13</f>
        <v/>
      </c>
      <c r="X13">
        <f>NETWORKDAYS(Datos!I13,Datos!I13+10)</f>
        <v/>
      </c>
    </row>
    <row r="14">
      <c r="A14">
        <f>Datos!A14</f>
        <v/>
      </c>
      <c r="B14">
        <f>Datos!B14&amp;" "&amp;Datos!C14</f>
        <v/>
      </c>
      <c r="C14">
        <f>CONCAT(Datos!B14," ",Datos!C14)</f>
        <v/>
      </c>
      <c r="D14">
        <f>CONCATENATE(Datos!B14,"-",Datos!C14)</f>
        <v/>
      </c>
      <c r="E14">
        <f>UPPER(B14)</f>
        <v/>
      </c>
      <c r="F14">
        <f>LOWER(B14)</f>
        <v/>
      </c>
      <c r="G14">
        <f>PROPER(B14)</f>
        <v/>
      </c>
      <c r="H14">
        <f>LEFT(B14,3)</f>
        <v/>
      </c>
      <c r="I14">
        <f>RIGHT(B14,4)</f>
        <v/>
      </c>
      <c r="J14">
        <f>MID(B14,2,5)</f>
        <v/>
      </c>
      <c r="K14">
        <f>LEN(B14)</f>
        <v/>
      </c>
      <c r="L14">
        <f>FIND(" ",B14)</f>
        <v/>
      </c>
      <c r="M14">
        <f>SUBSTITUTE(B14," ","_")</f>
        <v/>
      </c>
      <c r="N14">
        <f>TRIM("  "&amp;B14&amp;"  ")</f>
        <v/>
      </c>
      <c r="O14">
        <f>TEXT(Datos!I14,"yyyy-mm-dd")</f>
        <v/>
      </c>
      <c r="P14" s="4">
        <f>DATE(YEAR(Datos!I14),MONTH(Datos!I14),DAY(Datos!I14))</f>
        <v/>
      </c>
      <c r="Q14">
        <f>YEAR(Datos!I14)</f>
        <v/>
      </c>
      <c r="R14">
        <f>MONTH(Datos!I14)</f>
        <v/>
      </c>
      <c r="S14">
        <f>DAY(Datos!I14)</f>
        <v/>
      </c>
      <c r="T14">
        <f>WEEKDAY(Datos!I14,2)</f>
        <v/>
      </c>
      <c r="U14" s="4">
        <f>EDATE(Datos!I14,2)</f>
        <v/>
      </c>
      <c r="V14" s="4">
        <f>EOMONTH(Datos!I14,0)</f>
        <v/>
      </c>
      <c r="W14">
        <f>TODAY()-Datos!I14</f>
        <v/>
      </c>
      <c r="X14">
        <f>NETWORKDAYS(Datos!I14,Datos!I14+10)</f>
        <v/>
      </c>
    </row>
    <row r="15">
      <c r="A15">
        <f>Datos!A15</f>
        <v/>
      </c>
      <c r="B15">
        <f>Datos!B15&amp;" "&amp;Datos!C15</f>
        <v/>
      </c>
      <c r="C15">
        <f>CONCAT(Datos!B15," ",Datos!C15)</f>
        <v/>
      </c>
      <c r="D15">
        <f>CONCATENATE(Datos!B15,"-",Datos!C15)</f>
        <v/>
      </c>
      <c r="E15">
        <f>UPPER(B15)</f>
        <v/>
      </c>
      <c r="F15">
        <f>LOWER(B15)</f>
        <v/>
      </c>
      <c r="G15">
        <f>PROPER(B15)</f>
        <v/>
      </c>
      <c r="H15">
        <f>LEFT(B15,3)</f>
        <v/>
      </c>
      <c r="I15">
        <f>RIGHT(B15,4)</f>
        <v/>
      </c>
      <c r="J15">
        <f>MID(B15,2,5)</f>
        <v/>
      </c>
      <c r="K15">
        <f>LEN(B15)</f>
        <v/>
      </c>
      <c r="L15">
        <f>FIND(" ",B15)</f>
        <v/>
      </c>
      <c r="M15">
        <f>SUBSTITUTE(B15," ","_")</f>
        <v/>
      </c>
      <c r="N15">
        <f>TRIM("  "&amp;B15&amp;"  ")</f>
        <v/>
      </c>
      <c r="O15">
        <f>TEXT(Datos!I15,"yyyy-mm-dd")</f>
        <v/>
      </c>
      <c r="P15" s="4">
        <f>DATE(YEAR(Datos!I15),MONTH(Datos!I15),DAY(Datos!I15))</f>
        <v/>
      </c>
      <c r="Q15">
        <f>YEAR(Datos!I15)</f>
        <v/>
      </c>
      <c r="R15">
        <f>MONTH(Datos!I15)</f>
        <v/>
      </c>
      <c r="S15">
        <f>DAY(Datos!I15)</f>
        <v/>
      </c>
      <c r="T15">
        <f>WEEKDAY(Datos!I15,2)</f>
        <v/>
      </c>
      <c r="U15" s="4">
        <f>EDATE(Datos!I15,2)</f>
        <v/>
      </c>
      <c r="V15" s="4">
        <f>EOMONTH(Datos!I15,0)</f>
        <v/>
      </c>
      <c r="W15">
        <f>TODAY()-Datos!I15</f>
        <v/>
      </c>
      <c r="X15">
        <f>NETWORKDAYS(Datos!I15,Datos!I15+10)</f>
        <v/>
      </c>
    </row>
    <row r="16">
      <c r="A16">
        <f>Datos!A16</f>
        <v/>
      </c>
      <c r="B16">
        <f>Datos!B16&amp;" "&amp;Datos!C16</f>
        <v/>
      </c>
      <c r="C16">
        <f>CONCAT(Datos!B16," ",Datos!C16)</f>
        <v/>
      </c>
      <c r="D16">
        <f>CONCATENATE(Datos!B16,"-",Datos!C16)</f>
        <v/>
      </c>
      <c r="E16">
        <f>UPPER(B16)</f>
        <v/>
      </c>
      <c r="F16">
        <f>LOWER(B16)</f>
        <v/>
      </c>
      <c r="G16">
        <f>PROPER(B16)</f>
        <v/>
      </c>
      <c r="H16">
        <f>LEFT(B16,3)</f>
        <v/>
      </c>
      <c r="I16">
        <f>RIGHT(B16,4)</f>
        <v/>
      </c>
      <c r="J16">
        <f>MID(B16,2,5)</f>
        <v/>
      </c>
      <c r="K16">
        <f>LEN(B16)</f>
        <v/>
      </c>
      <c r="L16">
        <f>FIND(" ",B16)</f>
        <v/>
      </c>
      <c r="M16">
        <f>SUBSTITUTE(B16," ","_")</f>
        <v/>
      </c>
      <c r="N16">
        <f>TRIM("  "&amp;B16&amp;"  ")</f>
        <v/>
      </c>
      <c r="O16">
        <f>TEXT(Datos!I16,"yyyy-mm-dd")</f>
        <v/>
      </c>
      <c r="P16" s="4">
        <f>DATE(YEAR(Datos!I16),MONTH(Datos!I16),DAY(Datos!I16))</f>
        <v/>
      </c>
      <c r="Q16">
        <f>YEAR(Datos!I16)</f>
        <v/>
      </c>
      <c r="R16">
        <f>MONTH(Datos!I16)</f>
        <v/>
      </c>
      <c r="S16">
        <f>DAY(Datos!I16)</f>
        <v/>
      </c>
      <c r="T16">
        <f>WEEKDAY(Datos!I16,2)</f>
        <v/>
      </c>
      <c r="U16" s="4">
        <f>EDATE(Datos!I16,2)</f>
        <v/>
      </c>
      <c r="V16" s="4">
        <f>EOMONTH(Datos!I16,0)</f>
        <v/>
      </c>
      <c r="W16">
        <f>TODAY()-Datos!I16</f>
        <v/>
      </c>
      <c r="X16">
        <f>NETWORKDAYS(Datos!I16,Datos!I16+10)</f>
        <v/>
      </c>
    </row>
    <row r="17">
      <c r="A17">
        <f>Datos!A17</f>
        <v/>
      </c>
      <c r="B17">
        <f>Datos!B17&amp;" "&amp;Datos!C17</f>
        <v/>
      </c>
      <c r="C17">
        <f>CONCAT(Datos!B17," ",Datos!C17)</f>
        <v/>
      </c>
      <c r="D17">
        <f>CONCATENATE(Datos!B17,"-",Datos!C17)</f>
        <v/>
      </c>
      <c r="E17">
        <f>UPPER(B17)</f>
        <v/>
      </c>
      <c r="F17">
        <f>LOWER(B17)</f>
        <v/>
      </c>
      <c r="G17">
        <f>PROPER(B17)</f>
        <v/>
      </c>
      <c r="H17">
        <f>LEFT(B17,3)</f>
        <v/>
      </c>
      <c r="I17">
        <f>RIGHT(B17,4)</f>
        <v/>
      </c>
      <c r="J17">
        <f>MID(B17,2,5)</f>
        <v/>
      </c>
      <c r="K17">
        <f>LEN(B17)</f>
        <v/>
      </c>
      <c r="L17">
        <f>FIND(" ",B17)</f>
        <v/>
      </c>
      <c r="M17">
        <f>SUBSTITUTE(B17," ","_")</f>
        <v/>
      </c>
      <c r="N17">
        <f>TRIM("  "&amp;B17&amp;"  ")</f>
        <v/>
      </c>
      <c r="O17">
        <f>TEXT(Datos!I17,"yyyy-mm-dd")</f>
        <v/>
      </c>
      <c r="P17" s="4">
        <f>DATE(YEAR(Datos!I17),MONTH(Datos!I17),DAY(Datos!I17))</f>
        <v/>
      </c>
      <c r="Q17">
        <f>YEAR(Datos!I17)</f>
        <v/>
      </c>
      <c r="R17">
        <f>MONTH(Datos!I17)</f>
        <v/>
      </c>
      <c r="S17">
        <f>DAY(Datos!I17)</f>
        <v/>
      </c>
      <c r="T17">
        <f>WEEKDAY(Datos!I17,2)</f>
        <v/>
      </c>
      <c r="U17" s="4">
        <f>EDATE(Datos!I17,2)</f>
        <v/>
      </c>
      <c r="V17" s="4">
        <f>EOMONTH(Datos!I17,0)</f>
        <v/>
      </c>
      <c r="W17">
        <f>TODAY()-Datos!I17</f>
        <v/>
      </c>
      <c r="X17">
        <f>NETWORKDAYS(Datos!I17,Datos!I17+10)</f>
        <v/>
      </c>
    </row>
    <row r="18">
      <c r="A18">
        <f>Datos!A18</f>
        <v/>
      </c>
      <c r="B18">
        <f>Datos!B18&amp;" "&amp;Datos!C18</f>
        <v/>
      </c>
      <c r="C18">
        <f>CONCAT(Datos!B18," ",Datos!C18)</f>
        <v/>
      </c>
      <c r="D18">
        <f>CONCATENATE(Datos!B18,"-",Datos!C18)</f>
        <v/>
      </c>
      <c r="E18">
        <f>UPPER(B18)</f>
        <v/>
      </c>
      <c r="F18">
        <f>LOWER(B18)</f>
        <v/>
      </c>
      <c r="G18">
        <f>PROPER(B18)</f>
        <v/>
      </c>
      <c r="H18">
        <f>LEFT(B18,3)</f>
        <v/>
      </c>
      <c r="I18">
        <f>RIGHT(B18,4)</f>
        <v/>
      </c>
      <c r="J18">
        <f>MID(B18,2,5)</f>
        <v/>
      </c>
      <c r="K18">
        <f>LEN(B18)</f>
        <v/>
      </c>
      <c r="L18">
        <f>FIND(" ",B18)</f>
        <v/>
      </c>
      <c r="M18">
        <f>SUBSTITUTE(B18," ","_")</f>
        <v/>
      </c>
      <c r="N18">
        <f>TRIM("  "&amp;B18&amp;"  ")</f>
        <v/>
      </c>
      <c r="O18">
        <f>TEXT(Datos!I18,"yyyy-mm-dd")</f>
        <v/>
      </c>
      <c r="P18" s="4">
        <f>DATE(YEAR(Datos!I18),MONTH(Datos!I18),DAY(Datos!I18))</f>
        <v/>
      </c>
      <c r="Q18">
        <f>YEAR(Datos!I18)</f>
        <v/>
      </c>
      <c r="R18">
        <f>MONTH(Datos!I18)</f>
        <v/>
      </c>
      <c r="S18">
        <f>DAY(Datos!I18)</f>
        <v/>
      </c>
      <c r="T18">
        <f>WEEKDAY(Datos!I18,2)</f>
        <v/>
      </c>
      <c r="U18" s="4">
        <f>EDATE(Datos!I18,2)</f>
        <v/>
      </c>
      <c r="V18" s="4">
        <f>EOMONTH(Datos!I18,0)</f>
        <v/>
      </c>
      <c r="W18">
        <f>TODAY()-Datos!I18</f>
        <v/>
      </c>
      <c r="X18">
        <f>NETWORKDAYS(Datos!I18,Datos!I18+10)</f>
        <v/>
      </c>
    </row>
    <row r="19">
      <c r="A19">
        <f>Datos!A19</f>
        <v/>
      </c>
      <c r="B19">
        <f>Datos!B19&amp;" "&amp;Datos!C19</f>
        <v/>
      </c>
      <c r="C19">
        <f>CONCAT(Datos!B19," ",Datos!C19)</f>
        <v/>
      </c>
      <c r="D19">
        <f>CONCATENATE(Datos!B19,"-",Datos!C19)</f>
        <v/>
      </c>
      <c r="E19">
        <f>UPPER(B19)</f>
        <v/>
      </c>
      <c r="F19">
        <f>LOWER(B19)</f>
        <v/>
      </c>
      <c r="G19">
        <f>PROPER(B19)</f>
        <v/>
      </c>
      <c r="H19">
        <f>LEFT(B19,3)</f>
        <v/>
      </c>
      <c r="I19">
        <f>RIGHT(B19,4)</f>
        <v/>
      </c>
      <c r="J19">
        <f>MID(B19,2,5)</f>
        <v/>
      </c>
      <c r="K19">
        <f>LEN(B19)</f>
        <v/>
      </c>
      <c r="L19">
        <f>FIND(" ",B19)</f>
        <v/>
      </c>
      <c r="M19">
        <f>SUBSTITUTE(B19," ","_")</f>
        <v/>
      </c>
      <c r="N19">
        <f>TRIM("  "&amp;B19&amp;"  ")</f>
        <v/>
      </c>
      <c r="O19">
        <f>TEXT(Datos!I19,"yyyy-mm-dd")</f>
        <v/>
      </c>
      <c r="P19" s="4">
        <f>DATE(YEAR(Datos!I19),MONTH(Datos!I19),DAY(Datos!I19))</f>
        <v/>
      </c>
      <c r="Q19">
        <f>YEAR(Datos!I19)</f>
        <v/>
      </c>
      <c r="R19">
        <f>MONTH(Datos!I19)</f>
        <v/>
      </c>
      <c r="S19">
        <f>DAY(Datos!I19)</f>
        <v/>
      </c>
      <c r="T19">
        <f>WEEKDAY(Datos!I19,2)</f>
        <v/>
      </c>
      <c r="U19" s="4">
        <f>EDATE(Datos!I19,2)</f>
        <v/>
      </c>
      <c r="V19" s="4">
        <f>EOMONTH(Datos!I19,0)</f>
        <v/>
      </c>
      <c r="W19">
        <f>TODAY()-Datos!I19</f>
        <v/>
      </c>
      <c r="X19">
        <f>NETWORKDAYS(Datos!I19,Datos!I19+10)</f>
        <v/>
      </c>
    </row>
    <row r="20">
      <c r="A20">
        <f>Datos!A20</f>
        <v/>
      </c>
      <c r="B20">
        <f>Datos!B20&amp;" "&amp;Datos!C20</f>
        <v/>
      </c>
      <c r="C20">
        <f>CONCAT(Datos!B20," ",Datos!C20)</f>
        <v/>
      </c>
      <c r="D20">
        <f>CONCATENATE(Datos!B20,"-",Datos!C20)</f>
        <v/>
      </c>
      <c r="E20">
        <f>UPPER(B20)</f>
        <v/>
      </c>
      <c r="F20">
        <f>LOWER(B20)</f>
        <v/>
      </c>
      <c r="G20">
        <f>PROPER(B20)</f>
        <v/>
      </c>
      <c r="H20">
        <f>LEFT(B20,3)</f>
        <v/>
      </c>
      <c r="I20">
        <f>RIGHT(B20,4)</f>
        <v/>
      </c>
      <c r="J20">
        <f>MID(B20,2,5)</f>
        <v/>
      </c>
      <c r="K20">
        <f>LEN(B20)</f>
        <v/>
      </c>
      <c r="L20">
        <f>FIND(" ",B20)</f>
        <v/>
      </c>
      <c r="M20">
        <f>SUBSTITUTE(B20," ","_")</f>
        <v/>
      </c>
      <c r="N20">
        <f>TRIM("  "&amp;B20&amp;"  ")</f>
        <v/>
      </c>
      <c r="O20">
        <f>TEXT(Datos!I20,"yyyy-mm-dd")</f>
        <v/>
      </c>
      <c r="P20" s="4">
        <f>DATE(YEAR(Datos!I20),MONTH(Datos!I20),DAY(Datos!I20))</f>
        <v/>
      </c>
      <c r="Q20">
        <f>YEAR(Datos!I20)</f>
        <v/>
      </c>
      <c r="R20">
        <f>MONTH(Datos!I20)</f>
        <v/>
      </c>
      <c r="S20">
        <f>DAY(Datos!I20)</f>
        <v/>
      </c>
      <c r="T20">
        <f>WEEKDAY(Datos!I20,2)</f>
        <v/>
      </c>
      <c r="U20" s="4">
        <f>EDATE(Datos!I20,2)</f>
        <v/>
      </c>
      <c r="V20" s="4">
        <f>EOMONTH(Datos!I20,0)</f>
        <v/>
      </c>
      <c r="W20">
        <f>TODAY()-Datos!I20</f>
        <v/>
      </c>
      <c r="X20">
        <f>NETWORKDAYS(Datos!I20,Datos!I20+10)</f>
        <v/>
      </c>
    </row>
    <row r="21">
      <c r="A21">
        <f>Datos!A21</f>
        <v/>
      </c>
      <c r="B21">
        <f>Datos!B21&amp;" "&amp;Datos!C21</f>
        <v/>
      </c>
      <c r="C21">
        <f>CONCAT(Datos!B21," ",Datos!C21)</f>
        <v/>
      </c>
      <c r="D21">
        <f>CONCATENATE(Datos!B21,"-",Datos!C21)</f>
        <v/>
      </c>
      <c r="E21">
        <f>UPPER(B21)</f>
        <v/>
      </c>
      <c r="F21">
        <f>LOWER(B21)</f>
        <v/>
      </c>
      <c r="G21">
        <f>PROPER(B21)</f>
        <v/>
      </c>
      <c r="H21">
        <f>LEFT(B21,3)</f>
        <v/>
      </c>
      <c r="I21">
        <f>RIGHT(B21,4)</f>
        <v/>
      </c>
      <c r="J21">
        <f>MID(B21,2,5)</f>
        <v/>
      </c>
      <c r="K21">
        <f>LEN(B21)</f>
        <v/>
      </c>
      <c r="L21">
        <f>FIND(" ",B21)</f>
        <v/>
      </c>
      <c r="M21">
        <f>SUBSTITUTE(B21," ","_")</f>
        <v/>
      </c>
      <c r="N21">
        <f>TRIM("  "&amp;B21&amp;"  ")</f>
        <v/>
      </c>
      <c r="O21">
        <f>TEXT(Datos!I21,"yyyy-mm-dd")</f>
        <v/>
      </c>
      <c r="P21" s="4">
        <f>DATE(YEAR(Datos!I21),MONTH(Datos!I21),DAY(Datos!I21))</f>
        <v/>
      </c>
      <c r="Q21">
        <f>YEAR(Datos!I21)</f>
        <v/>
      </c>
      <c r="R21">
        <f>MONTH(Datos!I21)</f>
        <v/>
      </c>
      <c r="S21">
        <f>DAY(Datos!I21)</f>
        <v/>
      </c>
      <c r="T21">
        <f>WEEKDAY(Datos!I21,2)</f>
        <v/>
      </c>
      <c r="U21" s="4">
        <f>EDATE(Datos!I21,2)</f>
        <v/>
      </c>
      <c r="V21" s="4">
        <f>EOMONTH(Datos!I21,0)</f>
        <v/>
      </c>
      <c r="W21">
        <f>TODAY()-Datos!I21</f>
        <v/>
      </c>
      <c r="X21">
        <f>NETWORKDAYS(Datos!I21,Datos!I21+10)</f>
        <v/>
      </c>
    </row>
    <row r="22">
      <c r="A22">
        <f>Datos!A22</f>
        <v/>
      </c>
      <c r="B22">
        <f>Datos!B22&amp;" "&amp;Datos!C22</f>
        <v/>
      </c>
      <c r="C22">
        <f>CONCAT(Datos!B22," ",Datos!C22)</f>
        <v/>
      </c>
      <c r="D22">
        <f>CONCATENATE(Datos!B22,"-",Datos!C22)</f>
        <v/>
      </c>
      <c r="E22">
        <f>UPPER(B22)</f>
        <v/>
      </c>
      <c r="F22">
        <f>LOWER(B22)</f>
        <v/>
      </c>
      <c r="G22">
        <f>PROPER(B22)</f>
        <v/>
      </c>
      <c r="H22">
        <f>LEFT(B22,3)</f>
        <v/>
      </c>
      <c r="I22">
        <f>RIGHT(B22,4)</f>
        <v/>
      </c>
      <c r="J22">
        <f>MID(B22,2,5)</f>
        <v/>
      </c>
      <c r="K22">
        <f>LEN(B22)</f>
        <v/>
      </c>
      <c r="L22">
        <f>FIND(" ",B22)</f>
        <v/>
      </c>
      <c r="M22">
        <f>SUBSTITUTE(B22," ","_")</f>
        <v/>
      </c>
      <c r="N22">
        <f>TRIM("  "&amp;B22&amp;"  ")</f>
        <v/>
      </c>
      <c r="O22">
        <f>TEXT(Datos!I22,"yyyy-mm-dd")</f>
        <v/>
      </c>
      <c r="P22" s="4">
        <f>DATE(YEAR(Datos!I22),MONTH(Datos!I22),DAY(Datos!I22))</f>
        <v/>
      </c>
      <c r="Q22">
        <f>YEAR(Datos!I22)</f>
        <v/>
      </c>
      <c r="R22">
        <f>MONTH(Datos!I22)</f>
        <v/>
      </c>
      <c r="S22">
        <f>DAY(Datos!I22)</f>
        <v/>
      </c>
      <c r="T22">
        <f>WEEKDAY(Datos!I22,2)</f>
        <v/>
      </c>
      <c r="U22" s="4">
        <f>EDATE(Datos!I22,2)</f>
        <v/>
      </c>
      <c r="V22" s="4">
        <f>EOMONTH(Datos!I22,0)</f>
        <v/>
      </c>
      <c r="W22">
        <f>TODAY()-Datos!I22</f>
        <v/>
      </c>
      <c r="X22">
        <f>NETWORKDAYS(Datos!I22,Datos!I22+10)</f>
        <v/>
      </c>
    </row>
    <row r="23">
      <c r="A23">
        <f>Datos!A23</f>
        <v/>
      </c>
      <c r="B23">
        <f>Datos!B23&amp;" "&amp;Datos!C23</f>
        <v/>
      </c>
      <c r="C23">
        <f>CONCAT(Datos!B23," ",Datos!C23)</f>
        <v/>
      </c>
      <c r="D23">
        <f>CONCATENATE(Datos!B23,"-",Datos!C23)</f>
        <v/>
      </c>
      <c r="E23">
        <f>UPPER(B23)</f>
        <v/>
      </c>
      <c r="F23">
        <f>LOWER(B23)</f>
        <v/>
      </c>
      <c r="G23">
        <f>PROPER(B23)</f>
        <v/>
      </c>
      <c r="H23">
        <f>LEFT(B23,3)</f>
        <v/>
      </c>
      <c r="I23">
        <f>RIGHT(B23,4)</f>
        <v/>
      </c>
      <c r="J23">
        <f>MID(B23,2,5)</f>
        <v/>
      </c>
      <c r="K23">
        <f>LEN(B23)</f>
        <v/>
      </c>
      <c r="L23">
        <f>FIND(" ",B23)</f>
        <v/>
      </c>
      <c r="M23">
        <f>SUBSTITUTE(B23," ","_")</f>
        <v/>
      </c>
      <c r="N23">
        <f>TRIM("  "&amp;B23&amp;"  ")</f>
        <v/>
      </c>
      <c r="O23">
        <f>TEXT(Datos!I23,"yyyy-mm-dd")</f>
        <v/>
      </c>
      <c r="P23" s="4">
        <f>DATE(YEAR(Datos!I23),MONTH(Datos!I23),DAY(Datos!I23))</f>
        <v/>
      </c>
      <c r="Q23">
        <f>YEAR(Datos!I23)</f>
        <v/>
      </c>
      <c r="R23">
        <f>MONTH(Datos!I23)</f>
        <v/>
      </c>
      <c r="S23">
        <f>DAY(Datos!I23)</f>
        <v/>
      </c>
      <c r="T23">
        <f>WEEKDAY(Datos!I23,2)</f>
        <v/>
      </c>
      <c r="U23" s="4">
        <f>EDATE(Datos!I23,2)</f>
        <v/>
      </c>
      <c r="V23" s="4">
        <f>EOMONTH(Datos!I23,0)</f>
        <v/>
      </c>
      <c r="W23">
        <f>TODAY()-Datos!I23</f>
        <v/>
      </c>
      <c r="X23">
        <f>NETWORKDAYS(Datos!I23,Datos!I23+10)</f>
        <v/>
      </c>
    </row>
    <row r="24">
      <c r="A24">
        <f>Datos!A24</f>
        <v/>
      </c>
      <c r="B24">
        <f>Datos!B24&amp;" "&amp;Datos!C24</f>
        <v/>
      </c>
      <c r="C24">
        <f>CONCAT(Datos!B24," ",Datos!C24)</f>
        <v/>
      </c>
      <c r="D24">
        <f>CONCATENATE(Datos!B24,"-",Datos!C24)</f>
        <v/>
      </c>
      <c r="E24">
        <f>UPPER(B24)</f>
        <v/>
      </c>
      <c r="F24">
        <f>LOWER(B24)</f>
        <v/>
      </c>
      <c r="G24">
        <f>PROPER(B24)</f>
        <v/>
      </c>
      <c r="H24">
        <f>LEFT(B24,3)</f>
        <v/>
      </c>
      <c r="I24">
        <f>RIGHT(B24,4)</f>
        <v/>
      </c>
      <c r="J24">
        <f>MID(B24,2,5)</f>
        <v/>
      </c>
      <c r="K24">
        <f>LEN(B24)</f>
        <v/>
      </c>
      <c r="L24">
        <f>FIND(" ",B24)</f>
        <v/>
      </c>
      <c r="M24">
        <f>SUBSTITUTE(B24," ","_")</f>
        <v/>
      </c>
      <c r="N24">
        <f>TRIM("  "&amp;B24&amp;"  ")</f>
        <v/>
      </c>
      <c r="O24">
        <f>TEXT(Datos!I24,"yyyy-mm-dd")</f>
        <v/>
      </c>
      <c r="P24" s="4">
        <f>DATE(YEAR(Datos!I24),MONTH(Datos!I24),DAY(Datos!I24))</f>
        <v/>
      </c>
      <c r="Q24">
        <f>YEAR(Datos!I24)</f>
        <v/>
      </c>
      <c r="R24">
        <f>MONTH(Datos!I24)</f>
        <v/>
      </c>
      <c r="S24">
        <f>DAY(Datos!I24)</f>
        <v/>
      </c>
      <c r="T24">
        <f>WEEKDAY(Datos!I24,2)</f>
        <v/>
      </c>
      <c r="U24" s="4">
        <f>EDATE(Datos!I24,2)</f>
        <v/>
      </c>
      <c r="V24" s="4">
        <f>EOMONTH(Datos!I24,0)</f>
        <v/>
      </c>
      <c r="W24">
        <f>TODAY()-Datos!I24</f>
        <v/>
      </c>
      <c r="X24">
        <f>NETWORKDAYS(Datos!I24,Datos!I24+10)</f>
        <v/>
      </c>
    </row>
    <row r="25">
      <c r="A25">
        <f>Datos!A25</f>
        <v/>
      </c>
      <c r="B25">
        <f>Datos!B25&amp;" "&amp;Datos!C25</f>
        <v/>
      </c>
      <c r="C25">
        <f>CONCAT(Datos!B25," ",Datos!C25)</f>
        <v/>
      </c>
      <c r="D25">
        <f>CONCATENATE(Datos!B25,"-",Datos!C25)</f>
        <v/>
      </c>
      <c r="E25">
        <f>UPPER(B25)</f>
        <v/>
      </c>
      <c r="F25">
        <f>LOWER(B25)</f>
        <v/>
      </c>
      <c r="G25">
        <f>PROPER(B25)</f>
        <v/>
      </c>
      <c r="H25">
        <f>LEFT(B25,3)</f>
        <v/>
      </c>
      <c r="I25">
        <f>RIGHT(B25,4)</f>
        <v/>
      </c>
      <c r="J25">
        <f>MID(B25,2,5)</f>
        <v/>
      </c>
      <c r="K25">
        <f>LEN(B25)</f>
        <v/>
      </c>
      <c r="L25">
        <f>FIND(" ",B25)</f>
        <v/>
      </c>
      <c r="M25">
        <f>SUBSTITUTE(B25," ","_")</f>
        <v/>
      </c>
      <c r="N25">
        <f>TRIM("  "&amp;B25&amp;"  ")</f>
        <v/>
      </c>
      <c r="O25">
        <f>TEXT(Datos!I25,"yyyy-mm-dd")</f>
        <v/>
      </c>
      <c r="P25" s="4">
        <f>DATE(YEAR(Datos!I25),MONTH(Datos!I25),DAY(Datos!I25))</f>
        <v/>
      </c>
      <c r="Q25">
        <f>YEAR(Datos!I25)</f>
        <v/>
      </c>
      <c r="R25">
        <f>MONTH(Datos!I25)</f>
        <v/>
      </c>
      <c r="S25">
        <f>DAY(Datos!I25)</f>
        <v/>
      </c>
      <c r="T25">
        <f>WEEKDAY(Datos!I25,2)</f>
        <v/>
      </c>
      <c r="U25" s="4">
        <f>EDATE(Datos!I25,2)</f>
        <v/>
      </c>
      <c r="V25" s="4">
        <f>EOMONTH(Datos!I25,0)</f>
        <v/>
      </c>
      <c r="W25">
        <f>TODAY()-Datos!I25</f>
        <v/>
      </c>
      <c r="X25">
        <f>NETWORKDAYS(Datos!I25,Datos!I25+10)</f>
        <v/>
      </c>
    </row>
    <row r="26">
      <c r="A26">
        <f>Datos!A26</f>
        <v/>
      </c>
      <c r="B26">
        <f>Datos!B26&amp;" "&amp;Datos!C26</f>
        <v/>
      </c>
      <c r="C26">
        <f>CONCAT(Datos!B26," ",Datos!C26)</f>
        <v/>
      </c>
      <c r="D26">
        <f>CONCATENATE(Datos!B26,"-",Datos!C26)</f>
        <v/>
      </c>
      <c r="E26">
        <f>UPPER(B26)</f>
        <v/>
      </c>
      <c r="F26">
        <f>LOWER(B26)</f>
        <v/>
      </c>
      <c r="G26">
        <f>PROPER(B26)</f>
        <v/>
      </c>
      <c r="H26">
        <f>LEFT(B26,3)</f>
        <v/>
      </c>
      <c r="I26">
        <f>RIGHT(B26,4)</f>
        <v/>
      </c>
      <c r="J26">
        <f>MID(B26,2,5)</f>
        <v/>
      </c>
      <c r="K26">
        <f>LEN(B26)</f>
        <v/>
      </c>
      <c r="L26">
        <f>FIND(" ",B26)</f>
        <v/>
      </c>
      <c r="M26">
        <f>SUBSTITUTE(B26," ","_")</f>
        <v/>
      </c>
      <c r="N26">
        <f>TRIM("  "&amp;B26&amp;"  ")</f>
        <v/>
      </c>
      <c r="O26">
        <f>TEXT(Datos!I26,"yyyy-mm-dd")</f>
        <v/>
      </c>
      <c r="P26" s="4">
        <f>DATE(YEAR(Datos!I26),MONTH(Datos!I26),DAY(Datos!I26))</f>
        <v/>
      </c>
      <c r="Q26">
        <f>YEAR(Datos!I26)</f>
        <v/>
      </c>
      <c r="R26">
        <f>MONTH(Datos!I26)</f>
        <v/>
      </c>
      <c r="S26">
        <f>DAY(Datos!I26)</f>
        <v/>
      </c>
      <c r="T26">
        <f>WEEKDAY(Datos!I26,2)</f>
        <v/>
      </c>
      <c r="U26" s="4">
        <f>EDATE(Datos!I26,2)</f>
        <v/>
      </c>
      <c r="V26" s="4">
        <f>EOMONTH(Datos!I26,0)</f>
        <v/>
      </c>
      <c r="W26">
        <f>TODAY()-Datos!I26</f>
        <v/>
      </c>
      <c r="X26">
        <f>NETWORKDAYS(Datos!I26,Datos!I26+10)</f>
        <v/>
      </c>
    </row>
    <row r="27">
      <c r="A27">
        <f>Datos!A27</f>
        <v/>
      </c>
      <c r="B27">
        <f>Datos!B27&amp;" "&amp;Datos!C27</f>
        <v/>
      </c>
      <c r="C27">
        <f>CONCAT(Datos!B27," ",Datos!C27)</f>
        <v/>
      </c>
      <c r="D27">
        <f>CONCATENATE(Datos!B27,"-",Datos!C27)</f>
        <v/>
      </c>
      <c r="E27">
        <f>UPPER(B27)</f>
        <v/>
      </c>
      <c r="F27">
        <f>LOWER(B27)</f>
        <v/>
      </c>
      <c r="G27">
        <f>PROPER(B27)</f>
        <v/>
      </c>
      <c r="H27">
        <f>LEFT(B27,3)</f>
        <v/>
      </c>
      <c r="I27">
        <f>RIGHT(B27,4)</f>
        <v/>
      </c>
      <c r="J27">
        <f>MID(B27,2,5)</f>
        <v/>
      </c>
      <c r="K27">
        <f>LEN(B27)</f>
        <v/>
      </c>
      <c r="L27">
        <f>FIND(" ",B27)</f>
        <v/>
      </c>
      <c r="M27">
        <f>SUBSTITUTE(B27," ","_")</f>
        <v/>
      </c>
      <c r="N27">
        <f>TRIM("  "&amp;B27&amp;"  ")</f>
        <v/>
      </c>
      <c r="O27">
        <f>TEXT(Datos!I27,"yyyy-mm-dd")</f>
        <v/>
      </c>
      <c r="P27" s="4">
        <f>DATE(YEAR(Datos!I27),MONTH(Datos!I27),DAY(Datos!I27))</f>
        <v/>
      </c>
      <c r="Q27">
        <f>YEAR(Datos!I27)</f>
        <v/>
      </c>
      <c r="R27">
        <f>MONTH(Datos!I27)</f>
        <v/>
      </c>
      <c r="S27">
        <f>DAY(Datos!I27)</f>
        <v/>
      </c>
      <c r="T27">
        <f>WEEKDAY(Datos!I27,2)</f>
        <v/>
      </c>
      <c r="U27" s="4">
        <f>EDATE(Datos!I27,2)</f>
        <v/>
      </c>
      <c r="V27" s="4">
        <f>EOMONTH(Datos!I27,0)</f>
        <v/>
      </c>
      <c r="W27">
        <f>TODAY()-Datos!I27</f>
        <v/>
      </c>
      <c r="X27">
        <f>NETWORKDAYS(Datos!I27,Datos!I27+10)</f>
        <v/>
      </c>
    </row>
    <row r="28">
      <c r="A28">
        <f>Datos!A28</f>
        <v/>
      </c>
      <c r="B28">
        <f>Datos!B28&amp;" "&amp;Datos!C28</f>
        <v/>
      </c>
      <c r="C28">
        <f>CONCAT(Datos!B28," ",Datos!C28)</f>
        <v/>
      </c>
      <c r="D28">
        <f>CONCATENATE(Datos!B28,"-",Datos!C28)</f>
        <v/>
      </c>
      <c r="E28">
        <f>UPPER(B28)</f>
        <v/>
      </c>
      <c r="F28">
        <f>LOWER(B28)</f>
        <v/>
      </c>
      <c r="G28">
        <f>PROPER(B28)</f>
        <v/>
      </c>
      <c r="H28">
        <f>LEFT(B28,3)</f>
        <v/>
      </c>
      <c r="I28">
        <f>RIGHT(B28,4)</f>
        <v/>
      </c>
      <c r="J28">
        <f>MID(B28,2,5)</f>
        <v/>
      </c>
      <c r="K28">
        <f>LEN(B28)</f>
        <v/>
      </c>
      <c r="L28">
        <f>FIND(" ",B28)</f>
        <v/>
      </c>
      <c r="M28">
        <f>SUBSTITUTE(B28," ","_")</f>
        <v/>
      </c>
      <c r="N28">
        <f>TRIM("  "&amp;B28&amp;"  ")</f>
        <v/>
      </c>
      <c r="O28">
        <f>TEXT(Datos!I28,"yyyy-mm-dd")</f>
        <v/>
      </c>
      <c r="P28" s="4">
        <f>DATE(YEAR(Datos!I28),MONTH(Datos!I28),DAY(Datos!I28))</f>
        <v/>
      </c>
      <c r="Q28">
        <f>YEAR(Datos!I28)</f>
        <v/>
      </c>
      <c r="R28">
        <f>MONTH(Datos!I28)</f>
        <v/>
      </c>
      <c r="S28">
        <f>DAY(Datos!I28)</f>
        <v/>
      </c>
      <c r="T28">
        <f>WEEKDAY(Datos!I28,2)</f>
        <v/>
      </c>
      <c r="U28" s="4">
        <f>EDATE(Datos!I28,2)</f>
        <v/>
      </c>
      <c r="V28" s="4">
        <f>EOMONTH(Datos!I28,0)</f>
        <v/>
      </c>
      <c r="W28">
        <f>TODAY()-Datos!I28</f>
        <v/>
      </c>
      <c r="X28">
        <f>NETWORKDAYS(Datos!I28,Datos!I28+10)</f>
        <v/>
      </c>
    </row>
    <row r="29">
      <c r="A29">
        <f>Datos!A29</f>
        <v/>
      </c>
      <c r="B29">
        <f>Datos!B29&amp;" "&amp;Datos!C29</f>
        <v/>
      </c>
      <c r="C29">
        <f>CONCAT(Datos!B29," ",Datos!C29)</f>
        <v/>
      </c>
      <c r="D29">
        <f>CONCATENATE(Datos!B29,"-",Datos!C29)</f>
        <v/>
      </c>
      <c r="E29">
        <f>UPPER(B29)</f>
        <v/>
      </c>
      <c r="F29">
        <f>LOWER(B29)</f>
        <v/>
      </c>
      <c r="G29">
        <f>PROPER(B29)</f>
        <v/>
      </c>
      <c r="H29">
        <f>LEFT(B29,3)</f>
        <v/>
      </c>
      <c r="I29">
        <f>RIGHT(B29,4)</f>
        <v/>
      </c>
      <c r="J29">
        <f>MID(B29,2,5)</f>
        <v/>
      </c>
      <c r="K29">
        <f>LEN(B29)</f>
        <v/>
      </c>
      <c r="L29">
        <f>FIND(" ",B29)</f>
        <v/>
      </c>
      <c r="M29">
        <f>SUBSTITUTE(B29," ","_")</f>
        <v/>
      </c>
      <c r="N29">
        <f>TRIM("  "&amp;B29&amp;"  ")</f>
        <v/>
      </c>
      <c r="O29">
        <f>TEXT(Datos!I29,"yyyy-mm-dd")</f>
        <v/>
      </c>
      <c r="P29" s="4">
        <f>DATE(YEAR(Datos!I29),MONTH(Datos!I29),DAY(Datos!I29))</f>
        <v/>
      </c>
      <c r="Q29">
        <f>YEAR(Datos!I29)</f>
        <v/>
      </c>
      <c r="R29">
        <f>MONTH(Datos!I29)</f>
        <v/>
      </c>
      <c r="S29">
        <f>DAY(Datos!I29)</f>
        <v/>
      </c>
      <c r="T29">
        <f>WEEKDAY(Datos!I29,2)</f>
        <v/>
      </c>
      <c r="U29" s="4">
        <f>EDATE(Datos!I29,2)</f>
        <v/>
      </c>
      <c r="V29" s="4">
        <f>EOMONTH(Datos!I29,0)</f>
        <v/>
      </c>
      <c r="W29">
        <f>TODAY()-Datos!I29</f>
        <v/>
      </c>
      <c r="X29">
        <f>NETWORKDAYS(Datos!I29,Datos!I29+10)</f>
        <v/>
      </c>
    </row>
    <row r="30">
      <c r="A30">
        <f>Datos!A30</f>
        <v/>
      </c>
      <c r="B30">
        <f>Datos!B30&amp;" "&amp;Datos!C30</f>
        <v/>
      </c>
      <c r="C30">
        <f>CONCAT(Datos!B30," ",Datos!C30)</f>
        <v/>
      </c>
      <c r="D30">
        <f>CONCATENATE(Datos!B30,"-",Datos!C30)</f>
        <v/>
      </c>
      <c r="E30">
        <f>UPPER(B30)</f>
        <v/>
      </c>
      <c r="F30">
        <f>LOWER(B30)</f>
        <v/>
      </c>
      <c r="G30">
        <f>PROPER(B30)</f>
        <v/>
      </c>
      <c r="H30">
        <f>LEFT(B30,3)</f>
        <v/>
      </c>
      <c r="I30">
        <f>RIGHT(B30,4)</f>
        <v/>
      </c>
      <c r="J30">
        <f>MID(B30,2,5)</f>
        <v/>
      </c>
      <c r="K30">
        <f>LEN(B30)</f>
        <v/>
      </c>
      <c r="L30">
        <f>FIND(" ",B30)</f>
        <v/>
      </c>
      <c r="M30">
        <f>SUBSTITUTE(B30," ","_")</f>
        <v/>
      </c>
      <c r="N30">
        <f>TRIM("  "&amp;B30&amp;"  ")</f>
        <v/>
      </c>
      <c r="O30">
        <f>TEXT(Datos!I30,"yyyy-mm-dd")</f>
        <v/>
      </c>
      <c r="P30" s="4">
        <f>DATE(YEAR(Datos!I30),MONTH(Datos!I30),DAY(Datos!I30))</f>
        <v/>
      </c>
      <c r="Q30">
        <f>YEAR(Datos!I30)</f>
        <v/>
      </c>
      <c r="R30">
        <f>MONTH(Datos!I30)</f>
        <v/>
      </c>
      <c r="S30">
        <f>DAY(Datos!I30)</f>
        <v/>
      </c>
      <c r="T30">
        <f>WEEKDAY(Datos!I30,2)</f>
        <v/>
      </c>
      <c r="U30" s="4">
        <f>EDATE(Datos!I30,2)</f>
        <v/>
      </c>
      <c r="V30" s="4">
        <f>EOMONTH(Datos!I30,0)</f>
        <v/>
      </c>
      <c r="W30">
        <f>TODAY()-Datos!I30</f>
        <v/>
      </c>
      <c r="X30">
        <f>NETWORKDAYS(Datos!I30,Datos!I30+10)</f>
        <v/>
      </c>
    </row>
    <row r="31">
      <c r="A31">
        <f>Datos!A31</f>
        <v/>
      </c>
      <c r="B31">
        <f>Datos!B31&amp;" "&amp;Datos!C31</f>
        <v/>
      </c>
      <c r="C31">
        <f>CONCAT(Datos!B31," ",Datos!C31)</f>
        <v/>
      </c>
      <c r="D31">
        <f>CONCATENATE(Datos!B31,"-",Datos!C31)</f>
        <v/>
      </c>
      <c r="E31">
        <f>UPPER(B31)</f>
        <v/>
      </c>
      <c r="F31">
        <f>LOWER(B31)</f>
        <v/>
      </c>
      <c r="G31">
        <f>PROPER(B31)</f>
        <v/>
      </c>
      <c r="H31">
        <f>LEFT(B31,3)</f>
        <v/>
      </c>
      <c r="I31">
        <f>RIGHT(B31,4)</f>
        <v/>
      </c>
      <c r="J31">
        <f>MID(B31,2,5)</f>
        <v/>
      </c>
      <c r="K31">
        <f>LEN(B31)</f>
        <v/>
      </c>
      <c r="L31">
        <f>FIND(" ",B31)</f>
        <v/>
      </c>
      <c r="M31">
        <f>SUBSTITUTE(B31," ","_")</f>
        <v/>
      </c>
      <c r="N31">
        <f>TRIM("  "&amp;B31&amp;"  ")</f>
        <v/>
      </c>
      <c r="O31">
        <f>TEXT(Datos!I31,"yyyy-mm-dd")</f>
        <v/>
      </c>
      <c r="P31" s="4">
        <f>DATE(YEAR(Datos!I31),MONTH(Datos!I31),DAY(Datos!I31))</f>
        <v/>
      </c>
      <c r="Q31">
        <f>YEAR(Datos!I31)</f>
        <v/>
      </c>
      <c r="R31">
        <f>MONTH(Datos!I31)</f>
        <v/>
      </c>
      <c r="S31">
        <f>DAY(Datos!I31)</f>
        <v/>
      </c>
      <c r="T31">
        <f>WEEKDAY(Datos!I31,2)</f>
        <v/>
      </c>
      <c r="U31" s="4">
        <f>EDATE(Datos!I31,2)</f>
        <v/>
      </c>
      <c r="V31" s="4">
        <f>EOMONTH(Datos!I31,0)</f>
        <v/>
      </c>
      <c r="W31">
        <f>TODAY()-Datos!I31</f>
        <v/>
      </c>
      <c r="X31">
        <f>NETWORKDAYS(Datos!I31,Datos!I31+10)</f>
        <v/>
      </c>
    </row>
    <row r="32">
      <c r="A32">
        <f>Datos!A32</f>
        <v/>
      </c>
      <c r="B32">
        <f>Datos!B32&amp;" "&amp;Datos!C32</f>
        <v/>
      </c>
      <c r="C32">
        <f>CONCAT(Datos!B32," ",Datos!C32)</f>
        <v/>
      </c>
      <c r="D32">
        <f>CONCATENATE(Datos!B32,"-",Datos!C32)</f>
        <v/>
      </c>
      <c r="E32">
        <f>UPPER(B32)</f>
        <v/>
      </c>
      <c r="F32">
        <f>LOWER(B32)</f>
        <v/>
      </c>
      <c r="G32">
        <f>PROPER(B32)</f>
        <v/>
      </c>
      <c r="H32">
        <f>LEFT(B32,3)</f>
        <v/>
      </c>
      <c r="I32">
        <f>RIGHT(B32,4)</f>
        <v/>
      </c>
      <c r="J32">
        <f>MID(B32,2,5)</f>
        <v/>
      </c>
      <c r="K32">
        <f>LEN(B32)</f>
        <v/>
      </c>
      <c r="L32">
        <f>FIND(" ",B32)</f>
        <v/>
      </c>
      <c r="M32">
        <f>SUBSTITUTE(B32," ","_")</f>
        <v/>
      </c>
      <c r="N32">
        <f>TRIM("  "&amp;B32&amp;"  ")</f>
        <v/>
      </c>
      <c r="O32">
        <f>TEXT(Datos!I32,"yyyy-mm-dd")</f>
        <v/>
      </c>
      <c r="P32" s="4">
        <f>DATE(YEAR(Datos!I32),MONTH(Datos!I32),DAY(Datos!I32))</f>
        <v/>
      </c>
      <c r="Q32">
        <f>YEAR(Datos!I32)</f>
        <v/>
      </c>
      <c r="R32">
        <f>MONTH(Datos!I32)</f>
        <v/>
      </c>
      <c r="S32">
        <f>DAY(Datos!I32)</f>
        <v/>
      </c>
      <c r="T32">
        <f>WEEKDAY(Datos!I32,2)</f>
        <v/>
      </c>
      <c r="U32" s="4">
        <f>EDATE(Datos!I32,2)</f>
        <v/>
      </c>
      <c r="V32" s="4">
        <f>EOMONTH(Datos!I32,0)</f>
        <v/>
      </c>
      <c r="W32">
        <f>TODAY()-Datos!I32</f>
        <v/>
      </c>
      <c r="X32">
        <f>NETWORKDAYS(Datos!I32,Datos!I32+10)</f>
        <v/>
      </c>
    </row>
    <row r="33">
      <c r="A33">
        <f>Datos!A33</f>
        <v/>
      </c>
      <c r="B33">
        <f>Datos!B33&amp;" "&amp;Datos!C33</f>
        <v/>
      </c>
      <c r="C33">
        <f>CONCAT(Datos!B33," ",Datos!C33)</f>
        <v/>
      </c>
      <c r="D33">
        <f>CONCATENATE(Datos!B33,"-",Datos!C33)</f>
        <v/>
      </c>
      <c r="E33">
        <f>UPPER(B33)</f>
        <v/>
      </c>
      <c r="F33">
        <f>LOWER(B33)</f>
        <v/>
      </c>
      <c r="G33">
        <f>PROPER(B33)</f>
        <v/>
      </c>
      <c r="H33">
        <f>LEFT(B33,3)</f>
        <v/>
      </c>
      <c r="I33">
        <f>RIGHT(B33,4)</f>
        <v/>
      </c>
      <c r="J33">
        <f>MID(B33,2,5)</f>
        <v/>
      </c>
      <c r="K33">
        <f>LEN(B33)</f>
        <v/>
      </c>
      <c r="L33">
        <f>FIND(" ",B33)</f>
        <v/>
      </c>
      <c r="M33">
        <f>SUBSTITUTE(B33," ","_")</f>
        <v/>
      </c>
      <c r="N33">
        <f>TRIM("  "&amp;B33&amp;"  ")</f>
        <v/>
      </c>
      <c r="O33">
        <f>TEXT(Datos!I33,"yyyy-mm-dd")</f>
        <v/>
      </c>
      <c r="P33" s="4">
        <f>DATE(YEAR(Datos!I33),MONTH(Datos!I33),DAY(Datos!I33))</f>
        <v/>
      </c>
      <c r="Q33">
        <f>YEAR(Datos!I33)</f>
        <v/>
      </c>
      <c r="R33">
        <f>MONTH(Datos!I33)</f>
        <v/>
      </c>
      <c r="S33">
        <f>DAY(Datos!I33)</f>
        <v/>
      </c>
      <c r="T33">
        <f>WEEKDAY(Datos!I33,2)</f>
        <v/>
      </c>
      <c r="U33" s="4">
        <f>EDATE(Datos!I33,2)</f>
        <v/>
      </c>
      <c r="V33" s="4">
        <f>EOMONTH(Datos!I33,0)</f>
        <v/>
      </c>
      <c r="W33">
        <f>TODAY()-Datos!I33</f>
        <v/>
      </c>
      <c r="X33">
        <f>NETWORKDAYS(Datos!I33,Datos!I33+10)</f>
        <v/>
      </c>
    </row>
    <row r="34">
      <c r="A34">
        <f>Datos!A34</f>
        <v/>
      </c>
      <c r="B34">
        <f>Datos!B34&amp;" "&amp;Datos!C34</f>
        <v/>
      </c>
      <c r="C34">
        <f>CONCAT(Datos!B34," ",Datos!C34)</f>
        <v/>
      </c>
      <c r="D34">
        <f>CONCATENATE(Datos!B34,"-",Datos!C34)</f>
        <v/>
      </c>
      <c r="E34">
        <f>UPPER(B34)</f>
        <v/>
      </c>
      <c r="F34">
        <f>LOWER(B34)</f>
        <v/>
      </c>
      <c r="G34">
        <f>PROPER(B34)</f>
        <v/>
      </c>
      <c r="H34">
        <f>LEFT(B34,3)</f>
        <v/>
      </c>
      <c r="I34">
        <f>RIGHT(B34,4)</f>
        <v/>
      </c>
      <c r="J34">
        <f>MID(B34,2,5)</f>
        <v/>
      </c>
      <c r="K34">
        <f>LEN(B34)</f>
        <v/>
      </c>
      <c r="L34">
        <f>FIND(" ",B34)</f>
        <v/>
      </c>
      <c r="M34">
        <f>SUBSTITUTE(B34," ","_")</f>
        <v/>
      </c>
      <c r="N34">
        <f>TRIM("  "&amp;B34&amp;"  ")</f>
        <v/>
      </c>
      <c r="O34">
        <f>TEXT(Datos!I34,"yyyy-mm-dd")</f>
        <v/>
      </c>
      <c r="P34" s="4">
        <f>DATE(YEAR(Datos!I34),MONTH(Datos!I34),DAY(Datos!I34))</f>
        <v/>
      </c>
      <c r="Q34">
        <f>YEAR(Datos!I34)</f>
        <v/>
      </c>
      <c r="R34">
        <f>MONTH(Datos!I34)</f>
        <v/>
      </c>
      <c r="S34">
        <f>DAY(Datos!I34)</f>
        <v/>
      </c>
      <c r="T34">
        <f>WEEKDAY(Datos!I34,2)</f>
        <v/>
      </c>
      <c r="U34" s="4">
        <f>EDATE(Datos!I34,2)</f>
        <v/>
      </c>
      <c r="V34" s="4">
        <f>EOMONTH(Datos!I34,0)</f>
        <v/>
      </c>
      <c r="W34">
        <f>TODAY()-Datos!I34</f>
        <v/>
      </c>
      <c r="X34">
        <f>NETWORKDAYS(Datos!I34,Datos!I34+10)</f>
        <v/>
      </c>
    </row>
    <row r="35">
      <c r="A35">
        <f>Datos!A35</f>
        <v/>
      </c>
      <c r="B35">
        <f>Datos!B35&amp;" "&amp;Datos!C35</f>
        <v/>
      </c>
      <c r="C35">
        <f>CONCAT(Datos!B35," ",Datos!C35)</f>
        <v/>
      </c>
      <c r="D35">
        <f>CONCATENATE(Datos!B35,"-",Datos!C35)</f>
        <v/>
      </c>
      <c r="E35">
        <f>UPPER(B35)</f>
        <v/>
      </c>
      <c r="F35">
        <f>LOWER(B35)</f>
        <v/>
      </c>
      <c r="G35">
        <f>PROPER(B35)</f>
        <v/>
      </c>
      <c r="H35">
        <f>LEFT(B35,3)</f>
        <v/>
      </c>
      <c r="I35">
        <f>RIGHT(B35,4)</f>
        <v/>
      </c>
      <c r="J35">
        <f>MID(B35,2,5)</f>
        <v/>
      </c>
      <c r="K35">
        <f>LEN(B35)</f>
        <v/>
      </c>
      <c r="L35">
        <f>FIND(" ",B35)</f>
        <v/>
      </c>
      <c r="M35">
        <f>SUBSTITUTE(B35," ","_")</f>
        <v/>
      </c>
      <c r="N35">
        <f>TRIM("  "&amp;B35&amp;"  ")</f>
        <v/>
      </c>
      <c r="O35">
        <f>TEXT(Datos!I35,"yyyy-mm-dd")</f>
        <v/>
      </c>
      <c r="P35" s="4">
        <f>DATE(YEAR(Datos!I35),MONTH(Datos!I35),DAY(Datos!I35))</f>
        <v/>
      </c>
      <c r="Q35">
        <f>YEAR(Datos!I35)</f>
        <v/>
      </c>
      <c r="R35">
        <f>MONTH(Datos!I35)</f>
        <v/>
      </c>
      <c r="S35">
        <f>DAY(Datos!I35)</f>
        <v/>
      </c>
      <c r="T35">
        <f>WEEKDAY(Datos!I35,2)</f>
        <v/>
      </c>
      <c r="U35" s="4">
        <f>EDATE(Datos!I35,2)</f>
        <v/>
      </c>
      <c r="V35" s="4">
        <f>EOMONTH(Datos!I35,0)</f>
        <v/>
      </c>
      <c r="W35">
        <f>TODAY()-Datos!I35</f>
        <v/>
      </c>
      <c r="X35">
        <f>NETWORKDAYS(Datos!I35,Datos!I35+10)</f>
        <v/>
      </c>
    </row>
    <row r="36">
      <c r="A36">
        <f>Datos!A36</f>
        <v/>
      </c>
      <c r="B36">
        <f>Datos!B36&amp;" "&amp;Datos!C36</f>
        <v/>
      </c>
      <c r="C36">
        <f>CONCAT(Datos!B36," ",Datos!C36)</f>
        <v/>
      </c>
      <c r="D36">
        <f>CONCATENATE(Datos!B36,"-",Datos!C36)</f>
        <v/>
      </c>
      <c r="E36">
        <f>UPPER(B36)</f>
        <v/>
      </c>
      <c r="F36">
        <f>LOWER(B36)</f>
        <v/>
      </c>
      <c r="G36">
        <f>PROPER(B36)</f>
        <v/>
      </c>
      <c r="H36">
        <f>LEFT(B36,3)</f>
        <v/>
      </c>
      <c r="I36">
        <f>RIGHT(B36,4)</f>
        <v/>
      </c>
      <c r="J36">
        <f>MID(B36,2,5)</f>
        <v/>
      </c>
      <c r="K36">
        <f>LEN(B36)</f>
        <v/>
      </c>
      <c r="L36">
        <f>FIND(" ",B36)</f>
        <v/>
      </c>
      <c r="M36">
        <f>SUBSTITUTE(B36," ","_")</f>
        <v/>
      </c>
      <c r="N36">
        <f>TRIM("  "&amp;B36&amp;"  ")</f>
        <v/>
      </c>
      <c r="O36">
        <f>TEXT(Datos!I36,"yyyy-mm-dd")</f>
        <v/>
      </c>
      <c r="P36" s="4">
        <f>DATE(YEAR(Datos!I36),MONTH(Datos!I36),DAY(Datos!I36))</f>
        <v/>
      </c>
      <c r="Q36">
        <f>YEAR(Datos!I36)</f>
        <v/>
      </c>
      <c r="R36">
        <f>MONTH(Datos!I36)</f>
        <v/>
      </c>
      <c r="S36">
        <f>DAY(Datos!I36)</f>
        <v/>
      </c>
      <c r="T36">
        <f>WEEKDAY(Datos!I36,2)</f>
        <v/>
      </c>
      <c r="U36" s="4">
        <f>EDATE(Datos!I36,2)</f>
        <v/>
      </c>
      <c r="V36" s="4">
        <f>EOMONTH(Datos!I36,0)</f>
        <v/>
      </c>
      <c r="W36">
        <f>TODAY()-Datos!I36</f>
        <v/>
      </c>
      <c r="X36">
        <f>NETWORKDAYS(Datos!I36,Datos!I36+10)</f>
        <v/>
      </c>
    </row>
    <row r="37">
      <c r="A37">
        <f>Datos!A37</f>
        <v/>
      </c>
      <c r="B37">
        <f>Datos!B37&amp;" "&amp;Datos!C37</f>
        <v/>
      </c>
      <c r="C37">
        <f>CONCAT(Datos!B37," ",Datos!C37)</f>
        <v/>
      </c>
      <c r="D37">
        <f>CONCATENATE(Datos!B37,"-",Datos!C37)</f>
        <v/>
      </c>
      <c r="E37">
        <f>UPPER(B37)</f>
        <v/>
      </c>
      <c r="F37">
        <f>LOWER(B37)</f>
        <v/>
      </c>
      <c r="G37">
        <f>PROPER(B37)</f>
        <v/>
      </c>
      <c r="H37">
        <f>LEFT(B37,3)</f>
        <v/>
      </c>
      <c r="I37">
        <f>RIGHT(B37,4)</f>
        <v/>
      </c>
      <c r="J37">
        <f>MID(B37,2,5)</f>
        <v/>
      </c>
      <c r="K37">
        <f>LEN(B37)</f>
        <v/>
      </c>
      <c r="L37">
        <f>FIND(" ",B37)</f>
        <v/>
      </c>
      <c r="M37">
        <f>SUBSTITUTE(B37," ","_")</f>
        <v/>
      </c>
      <c r="N37">
        <f>TRIM("  "&amp;B37&amp;"  ")</f>
        <v/>
      </c>
      <c r="O37">
        <f>TEXT(Datos!I37,"yyyy-mm-dd")</f>
        <v/>
      </c>
      <c r="P37" s="4">
        <f>DATE(YEAR(Datos!I37),MONTH(Datos!I37),DAY(Datos!I37))</f>
        <v/>
      </c>
      <c r="Q37">
        <f>YEAR(Datos!I37)</f>
        <v/>
      </c>
      <c r="R37">
        <f>MONTH(Datos!I37)</f>
        <v/>
      </c>
      <c r="S37">
        <f>DAY(Datos!I37)</f>
        <v/>
      </c>
      <c r="T37">
        <f>WEEKDAY(Datos!I37,2)</f>
        <v/>
      </c>
      <c r="U37" s="4">
        <f>EDATE(Datos!I37,2)</f>
        <v/>
      </c>
      <c r="V37" s="4">
        <f>EOMONTH(Datos!I37,0)</f>
        <v/>
      </c>
      <c r="W37">
        <f>TODAY()-Datos!I37</f>
        <v/>
      </c>
      <c r="X37">
        <f>NETWORKDAYS(Datos!I37,Datos!I37+10)</f>
        <v/>
      </c>
    </row>
    <row r="38">
      <c r="A38">
        <f>Datos!A38</f>
        <v/>
      </c>
      <c r="B38">
        <f>Datos!B38&amp;" "&amp;Datos!C38</f>
        <v/>
      </c>
      <c r="C38">
        <f>CONCAT(Datos!B38," ",Datos!C38)</f>
        <v/>
      </c>
      <c r="D38">
        <f>CONCATENATE(Datos!B38,"-",Datos!C38)</f>
        <v/>
      </c>
      <c r="E38">
        <f>UPPER(B38)</f>
        <v/>
      </c>
      <c r="F38">
        <f>LOWER(B38)</f>
        <v/>
      </c>
      <c r="G38">
        <f>PROPER(B38)</f>
        <v/>
      </c>
      <c r="H38">
        <f>LEFT(B38,3)</f>
        <v/>
      </c>
      <c r="I38">
        <f>RIGHT(B38,4)</f>
        <v/>
      </c>
      <c r="J38">
        <f>MID(B38,2,5)</f>
        <v/>
      </c>
      <c r="K38">
        <f>LEN(B38)</f>
        <v/>
      </c>
      <c r="L38">
        <f>FIND(" ",B38)</f>
        <v/>
      </c>
      <c r="M38">
        <f>SUBSTITUTE(B38," ","_")</f>
        <v/>
      </c>
      <c r="N38">
        <f>TRIM("  "&amp;B38&amp;"  ")</f>
        <v/>
      </c>
      <c r="O38">
        <f>TEXT(Datos!I38,"yyyy-mm-dd")</f>
        <v/>
      </c>
      <c r="P38" s="4">
        <f>DATE(YEAR(Datos!I38),MONTH(Datos!I38),DAY(Datos!I38))</f>
        <v/>
      </c>
      <c r="Q38">
        <f>YEAR(Datos!I38)</f>
        <v/>
      </c>
      <c r="R38">
        <f>MONTH(Datos!I38)</f>
        <v/>
      </c>
      <c r="S38">
        <f>DAY(Datos!I38)</f>
        <v/>
      </c>
      <c r="T38">
        <f>WEEKDAY(Datos!I38,2)</f>
        <v/>
      </c>
      <c r="U38" s="4">
        <f>EDATE(Datos!I38,2)</f>
        <v/>
      </c>
      <c r="V38" s="4">
        <f>EOMONTH(Datos!I38,0)</f>
        <v/>
      </c>
      <c r="W38">
        <f>TODAY()-Datos!I38</f>
        <v/>
      </c>
      <c r="X38">
        <f>NETWORKDAYS(Datos!I38,Datos!I38+10)</f>
        <v/>
      </c>
    </row>
    <row r="39">
      <c r="A39">
        <f>Datos!A39</f>
        <v/>
      </c>
      <c r="B39">
        <f>Datos!B39&amp;" "&amp;Datos!C39</f>
        <v/>
      </c>
      <c r="C39">
        <f>CONCAT(Datos!B39," ",Datos!C39)</f>
        <v/>
      </c>
      <c r="D39">
        <f>CONCATENATE(Datos!B39,"-",Datos!C39)</f>
        <v/>
      </c>
      <c r="E39">
        <f>UPPER(B39)</f>
        <v/>
      </c>
      <c r="F39">
        <f>LOWER(B39)</f>
        <v/>
      </c>
      <c r="G39">
        <f>PROPER(B39)</f>
        <v/>
      </c>
      <c r="H39">
        <f>LEFT(B39,3)</f>
        <v/>
      </c>
      <c r="I39">
        <f>RIGHT(B39,4)</f>
        <v/>
      </c>
      <c r="J39">
        <f>MID(B39,2,5)</f>
        <v/>
      </c>
      <c r="K39">
        <f>LEN(B39)</f>
        <v/>
      </c>
      <c r="L39">
        <f>FIND(" ",B39)</f>
        <v/>
      </c>
      <c r="M39">
        <f>SUBSTITUTE(B39," ","_")</f>
        <v/>
      </c>
      <c r="N39">
        <f>TRIM("  "&amp;B39&amp;"  ")</f>
        <v/>
      </c>
      <c r="O39">
        <f>TEXT(Datos!I39,"yyyy-mm-dd")</f>
        <v/>
      </c>
      <c r="P39" s="4">
        <f>DATE(YEAR(Datos!I39),MONTH(Datos!I39),DAY(Datos!I39))</f>
        <v/>
      </c>
      <c r="Q39">
        <f>YEAR(Datos!I39)</f>
        <v/>
      </c>
      <c r="R39">
        <f>MONTH(Datos!I39)</f>
        <v/>
      </c>
      <c r="S39">
        <f>DAY(Datos!I39)</f>
        <v/>
      </c>
      <c r="T39">
        <f>WEEKDAY(Datos!I39,2)</f>
        <v/>
      </c>
      <c r="U39" s="4">
        <f>EDATE(Datos!I39,2)</f>
        <v/>
      </c>
      <c r="V39" s="4">
        <f>EOMONTH(Datos!I39,0)</f>
        <v/>
      </c>
      <c r="W39">
        <f>TODAY()-Datos!I39</f>
        <v/>
      </c>
      <c r="X39">
        <f>NETWORKDAYS(Datos!I39,Datos!I39+10)</f>
        <v/>
      </c>
    </row>
    <row r="40">
      <c r="A40">
        <f>Datos!A40</f>
        <v/>
      </c>
      <c r="B40">
        <f>Datos!B40&amp;" "&amp;Datos!C40</f>
        <v/>
      </c>
      <c r="C40">
        <f>CONCAT(Datos!B40," ",Datos!C40)</f>
        <v/>
      </c>
      <c r="D40">
        <f>CONCATENATE(Datos!B40,"-",Datos!C40)</f>
        <v/>
      </c>
      <c r="E40">
        <f>UPPER(B40)</f>
        <v/>
      </c>
      <c r="F40">
        <f>LOWER(B40)</f>
        <v/>
      </c>
      <c r="G40">
        <f>PROPER(B40)</f>
        <v/>
      </c>
      <c r="H40">
        <f>LEFT(B40,3)</f>
        <v/>
      </c>
      <c r="I40">
        <f>RIGHT(B40,4)</f>
        <v/>
      </c>
      <c r="J40">
        <f>MID(B40,2,5)</f>
        <v/>
      </c>
      <c r="K40">
        <f>LEN(B40)</f>
        <v/>
      </c>
      <c r="L40">
        <f>FIND(" ",B40)</f>
        <v/>
      </c>
      <c r="M40">
        <f>SUBSTITUTE(B40," ","_")</f>
        <v/>
      </c>
      <c r="N40">
        <f>TRIM("  "&amp;B40&amp;"  ")</f>
        <v/>
      </c>
      <c r="O40">
        <f>TEXT(Datos!I40,"yyyy-mm-dd")</f>
        <v/>
      </c>
      <c r="P40" s="4">
        <f>DATE(YEAR(Datos!I40),MONTH(Datos!I40),DAY(Datos!I40))</f>
        <v/>
      </c>
      <c r="Q40">
        <f>YEAR(Datos!I40)</f>
        <v/>
      </c>
      <c r="R40">
        <f>MONTH(Datos!I40)</f>
        <v/>
      </c>
      <c r="S40">
        <f>DAY(Datos!I40)</f>
        <v/>
      </c>
      <c r="T40">
        <f>WEEKDAY(Datos!I40,2)</f>
        <v/>
      </c>
      <c r="U40" s="4">
        <f>EDATE(Datos!I40,2)</f>
        <v/>
      </c>
      <c r="V40" s="4">
        <f>EOMONTH(Datos!I40,0)</f>
        <v/>
      </c>
      <c r="W40">
        <f>TODAY()-Datos!I40</f>
        <v/>
      </c>
      <c r="X40">
        <f>NETWORKDAYS(Datos!I40,Datos!I40+10)</f>
        <v/>
      </c>
    </row>
    <row r="41">
      <c r="A41">
        <f>Datos!A41</f>
        <v/>
      </c>
      <c r="B41">
        <f>Datos!B41&amp;" "&amp;Datos!C41</f>
        <v/>
      </c>
      <c r="C41">
        <f>CONCAT(Datos!B41," ",Datos!C41)</f>
        <v/>
      </c>
      <c r="D41">
        <f>CONCATENATE(Datos!B41,"-",Datos!C41)</f>
        <v/>
      </c>
      <c r="E41">
        <f>UPPER(B41)</f>
        <v/>
      </c>
      <c r="F41">
        <f>LOWER(B41)</f>
        <v/>
      </c>
      <c r="G41">
        <f>PROPER(B41)</f>
        <v/>
      </c>
      <c r="H41">
        <f>LEFT(B41,3)</f>
        <v/>
      </c>
      <c r="I41">
        <f>RIGHT(B41,4)</f>
        <v/>
      </c>
      <c r="J41">
        <f>MID(B41,2,5)</f>
        <v/>
      </c>
      <c r="K41">
        <f>LEN(B41)</f>
        <v/>
      </c>
      <c r="L41">
        <f>FIND(" ",B41)</f>
        <v/>
      </c>
      <c r="M41">
        <f>SUBSTITUTE(B41," ","_")</f>
        <v/>
      </c>
      <c r="N41">
        <f>TRIM("  "&amp;B41&amp;"  ")</f>
        <v/>
      </c>
      <c r="O41">
        <f>TEXT(Datos!I41,"yyyy-mm-dd")</f>
        <v/>
      </c>
      <c r="P41" s="4">
        <f>DATE(YEAR(Datos!I41),MONTH(Datos!I41),DAY(Datos!I41))</f>
        <v/>
      </c>
      <c r="Q41">
        <f>YEAR(Datos!I41)</f>
        <v/>
      </c>
      <c r="R41">
        <f>MONTH(Datos!I41)</f>
        <v/>
      </c>
      <c r="S41">
        <f>DAY(Datos!I41)</f>
        <v/>
      </c>
      <c r="T41">
        <f>WEEKDAY(Datos!I41,2)</f>
        <v/>
      </c>
      <c r="U41" s="4">
        <f>EDATE(Datos!I41,2)</f>
        <v/>
      </c>
      <c r="V41" s="4">
        <f>EOMONTH(Datos!I41,0)</f>
        <v/>
      </c>
      <c r="W41">
        <f>TODAY()-Datos!I41</f>
        <v/>
      </c>
      <c r="X41">
        <f>NETWORKDAYS(Datos!I41,Datos!I41+10)</f>
        <v/>
      </c>
    </row>
    <row r="42">
      <c r="A42">
        <f>Datos!A42</f>
        <v/>
      </c>
      <c r="B42">
        <f>Datos!B42&amp;" "&amp;Datos!C42</f>
        <v/>
      </c>
      <c r="C42">
        <f>CONCAT(Datos!B42," ",Datos!C42)</f>
        <v/>
      </c>
      <c r="D42">
        <f>CONCATENATE(Datos!B42,"-",Datos!C42)</f>
        <v/>
      </c>
      <c r="E42">
        <f>UPPER(B42)</f>
        <v/>
      </c>
      <c r="F42">
        <f>LOWER(B42)</f>
        <v/>
      </c>
      <c r="G42">
        <f>PROPER(B42)</f>
        <v/>
      </c>
      <c r="H42">
        <f>LEFT(B42,3)</f>
        <v/>
      </c>
      <c r="I42">
        <f>RIGHT(B42,4)</f>
        <v/>
      </c>
      <c r="J42">
        <f>MID(B42,2,5)</f>
        <v/>
      </c>
      <c r="K42">
        <f>LEN(B42)</f>
        <v/>
      </c>
      <c r="L42">
        <f>FIND(" ",B42)</f>
        <v/>
      </c>
      <c r="M42">
        <f>SUBSTITUTE(B42," ","_")</f>
        <v/>
      </c>
      <c r="N42">
        <f>TRIM("  "&amp;B42&amp;"  ")</f>
        <v/>
      </c>
      <c r="O42">
        <f>TEXT(Datos!I42,"yyyy-mm-dd")</f>
        <v/>
      </c>
      <c r="P42" s="4">
        <f>DATE(YEAR(Datos!I42),MONTH(Datos!I42),DAY(Datos!I42))</f>
        <v/>
      </c>
      <c r="Q42">
        <f>YEAR(Datos!I42)</f>
        <v/>
      </c>
      <c r="R42">
        <f>MONTH(Datos!I42)</f>
        <v/>
      </c>
      <c r="S42">
        <f>DAY(Datos!I42)</f>
        <v/>
      </c>
      <c r="T42">
        <f>WEEKDAY(Datos!I42,2)</f>
        <v/>
      </c>
      <c r="U42" s="4">
        <f>EDATE(Datos!I42,2)</f>
        <v/>
      </c>
      <c r="V42" s="4">
        <f>EOMONTH(Datos!I42,0)</f>
        <v/>
      </c>
      <c r="W42">
        <f>TODAY()-Datos!I42</f>
        <v/>
      </c>
      <c r="X42">
        <f>NETWORKDAYS(Datos!I42,Datos!I42+10)</f>
        <v/>
      </c>
    </row>
    <row r="43">
      <c r="A43">
        <f>Datos!A43</f>
        <v/>
      </c>
      <c r="B43">
        <f>Datos!B43&amp;" "&amp;Datos!C43</f>
        <v/>
      </c>
      <c r="C43">
        <f>CONCAT(Datos!B43," ",Datos!C43)</f>
        <v/>
      </c>
      <c r="D43">
        <f>CONCATENATE(Datos!B43,"-",Datos!C43)</f>
        <v/>
      </c>
      <c r="E43">
        <f>UPPER(B43)</f>
        <v/>
      </c>
      <c r="F43">
        <f>LOWER(B43)</f>
        <v/>
      </c>
      <c r="G43">
        <f>PROPER(B43)</f>
        <v/>
      </c>
      <c r="H43">
        <f>LEFT(B43,3)</f>
        <v/>
      </c>
      <c r="I43">
        <f>RIGHT(B43,4)</f>
        <v/>
      </c>
      <c r="J43">
        <f>MID(B43,2,5)</f>
        <v/>
      </c>
      <c r="K43">
        <f>LEN(B43)</f>
        <v/>
      </c>
      <c r="L43">
        <f>FIND(" ",B43)</f>
        <v/>
      </c>
      <c r="M43">
        <f>SUBSTITUTE(B43," ","_")</f>
        <v/>
      </c>
      <c r="N43">
        <f>TRIM("  "&amp;B43&amp;"  ")</f>
        <v/>
      </c>
      <c r="O43">
        <f>TEXT(Datos!I43,"yyyy-mm-dd")</f>
        <v/>
      </c>
      <c r="P43" s="4">
        <f>DATE(YEAR(Datos!I43),MONTH(Datos!I43),DAY(Datos!I43))</f>
        <v/>
      </c>
      <c r="Q43">
        <f>YEAR(Datos!I43)</f>
        <v/>
      </c>
      <c r="R43">
        <f>MONTH(Datos!I43)</f>
        <v/>
      </c>
      <c r="S43">
        <f>DAY(Datos!I43)</f>
        <v/>
      </c>
      <c r="T43">
        <f>WEEKDAY(Datos!I43,2)</f>
        <v/>
      </c>
      <c r="U43" s="4">
        <f>EDATE(Datos!I43,2)</f>
        <v/>
      </c>
      <c r="V43" s="4">
        <f>EOMONTH(Datos!I43,0)</f>
        <v/>
      </c>
      <c r="W43">
        <f>TODAY()-Datos!I43</f>
        <v/>
      </c>
      <c r="X43">
        <f>NETWORKDAYS(Datos!I43,Datos!I43+10)</f>
        <v/>
      </c>
    </row>
    <row r="44">
      <c r="A44">
        <f>Datos!A44</f>
        <v/>
      </c>
      <c r="B44">
        <f>Datos!B44&amp;" "&amp;Datos!C44</f>
        <v/>
      </c>
      <c r="C44">
        <f>CONCAT(Datos!B44," ",Datos!C44)</f>
        <v/>
      </c>
      <c r="D44">
        <f>CONCATENATE(Datos!B44,"-",Datos!C44)</f>
        <v/>
      </c>
      <c r="E44">
        <f>UPPER(B44)</f>
        <v/>
      </c>
      <c r="F44">
        <f>LOWER(B44)</f>
        <v/>
      </c>
      <c r="G44">
        <f>PROPER(B44)</f>
        <v/>
      </c>
      <c r="H44">
        <f>LEFT(B44,3)</f>
        <v/>
      </c>
      <c r="I44">
        <f>RIGHT(B44,4)</f>
        <v/>
      </c>
      <c r="J44">
        <f>MID(B44,2,5)</f>
        <v/>
      </c>
      <c r="K44">
        <f>LEN(B44)</f>
        <v/>
      </c>
      <c r="L44">
        <f>FIND(" ",B44)</f>
        <v/>
      </c>
      <c r="M44">
        <f>SUBSTITUTE(B44," ","_")</f>
        <v/>
      </c>
      <c r="N44">
        <f>TRIM("  "&amp;B44&amp;"  ")</f>
        <v/>
      </c>
      <c r="O44">
        <f>TEXT(Datos!I44,"yyyy-mm-dd")</f>
        <v/>
      </c>
      <c r="P44" s="4">
        <f>DATE(YEAR(Datos!I44),MONTH(Datos!I44),DAY(Datos!I44))</f>
        <v/>
      </c>
      <c r="Q44">
        <f>YEAR(Datos!I44)</f>
        <v/>
      </c>
      <c r="R44">
        <f>MONTH(Datos!I44)</f>
        <v/>
      </c>
      <c r="S44">
        <f>DAY(Datos!I44)</f>
        <v/>
      </c>
      <c r="T44">
        <f>WEEKDAY(Datos!I44,2)</f>
        <v/>
      </c>
      <c r="U44" s="4">
        <f>EDATE(Datos!I44,2)</f>
        <v/>
      </c>
      <c r="V44" s="4">
        <f>EOMONTH(Datos!I44,0)</f>
        <v/>
      </c>
      <c r="W44">
        <f>TODAY()-Datos!I44</f>
        <v/>
      </c>
      <c r="X44">
        <f>NETWORKDAYS(Datos!I44,Datos!I44+10)</f>
        <v/>
      </c>
    </row>
    <row r="45">
      <c r="A45">
        <f>Datos!A45</f>
        <v/>
      </c>
      <c r="B45">
        <f>Datos!B45&amp;" "&amp;Datos!C45</f>
        <v/>
      </c>
      <c r="C45">
        <f>CONCAT(Datos!B45," ",Datos!C45)</f>
        <v/>
      </c>
      <c r="D45">
        <f>CONCATENATE(Datos!B45,"-",Datos!C45)</f>
        <v/>
      </c>
      <c r="E45">
        <f>UPPER(B45)</f>
        <v/>
      </c>
      <c r="F45">
        <f>LOWER(B45)</f>
        <v/>
      </c>
      <c r="G45">
        <f>PROPER(B45)</f>
        <v/>
      </c>
      <c r="H45">
        <f>LEFT(B45,3)</f>
        <v/>
      </c>
      <c r="I45">
        <f>RIGHT(B45,4)</f>
        <v/>
      </c>
      <c r="J45">
        <f>MID(B45,2,5)</f>
        <v/>
      </c>
      <c r="K45">
        <f>LEN(B45)</f>
        <v/>
      </c>
      <c r="L45">
        <f>FIND(" ",B45)</f>
        <v/>
      </c>
      <c r="M45">
        <f>SUBSTITUTE(B45," ","_")</f>
        <v/>
      </c>
      <c r="N45">
        <f>TRIM("  "&amp;B45&amp;"  ")</f>
        <v/>
      </c>
      <c r="O45">
        <f>TEXT(Datos!I45,"yyyy-mm-dd")</f>
        <v/>
      </c>
      <c r="P45" s="4">
        <f>DATE(YEAR(Datos!I45),MONTH(Datos!I45),DAY(Datos!I45))</f>
        <v/>
      </c>
      <c r="Q45">
        <f>YEAR(Datos!I45)</f>
        <v/>
      </c>
      <c r="R45">
        <f>MONTH(Datos!I45)</f>
        <v/>
      </c>
      <c r="S45">
        <f>DAY(Datos!I45)</f>
        <v/>
      </c>
      <c r="T45">
        <f>WEEKDAY(Datos!I45,2)</f>
        <v/>
      </c>
      <c r="U45" s="4">
        <f>EDATE(Datos!I45,2)</f>
        <v/>
      </c>
      <c r="V45" s="4">
        <f>EOMONTH(Datos!I45,0)</f>
        <v/>
      </c>
      <c r="W45">
        <f>TODAY()-Datos!I45</f>
        <v/>
      </c>
      <c r="X45">
        <f>NETWORKDAYS(Datos!I45,Datos!I45+10)</f>
        <v/>
      </c>
    </row>
    <row r="46">
      <c r="A46">
        <f>Datos!A46</f>
        <v/>
      </c>
      <c r="B46">
        <f>Datos!B46&amp;" "&amp;Datos!C46</f>
        <v/>
      </c>
      <c r="C46">
        <f>CONCAT(Datos!B46," ",Datos!C46)</f>
        <v/>
      </c>
      <c r="D46">
        <f>CONCATENATE(Datos!B46,"-",Datos!C46)</f>
        <v/>
      </c>
      <c r="E46">
        <f>UPPER(B46)</f>
        <v/>
      </c>
      <c r="F46">
        <f>LOWER(B46)</f>
        <v/>
      </c>
      <c r="G46">
        <f>PROPER(B46)</f>
        <v/>
      </c>
      <c r="H46">
        <f>LEFT(B46,3)</f>
        <v/>
      </c>
      <c r="I46">
        <f>RIGHT(B46,4)</f>
        <v/>
      </c>
      <c r="J46">
        <f>MID(B46,2,5)</f>
        <v/>
      </c>
      <c r="K46">
        <f>LEN(B46)</f>
        <v/>
      </c>
      <c r="L46">
        <f>FIND(" ",B46)</f>
        <v/>
      </c>
      <c r="M46">
        <f>SUBSTITUTE(B46," ","_")</f>
        <v/>
      </c>
      <c r="N46">
        <f>TRIM("  "&amp;B46&amp;"  ")</f>
        <v/>
      </c>
      <c r="O46">
        <f>TEXT(Datos!I46,"yyyy-mm-dd")</f>
        <v/>
      </c>
      <c r="P46" s="4">
        <f>DATE(YEAR(Datos!I46),MONTH(Datos!I46),DAY(Datos!I46))</f>
        <v/>
      </c>
      <c r="Q46">
        <f>YEAR(Datos!I46)</f>
        <v/>
      </c>
      <c r="R46">
        <f>MONTH(Datos!I46)</f>
        <v/>
      </c>
      <c r="S46">
        <f>DAY(Datos!I46)</f>
        <v/>
      </c>
      <c r="T46">
        <f>WEEKDAY(Datos!I46,2)</f>
        <v/>
      </c>
      <c r="U46" s="4">
        <f>EDATE(Datos!I46,2)</f>
        <v/>
      </c>
      <c r="V46" s="4">
        <f>EOMONTH(Datos!I46,0)</f>
        <v/>
      </c>
      <c r="W46">
        <f>TODAY()-Datos!I46</f>
        <v/>
      </c>
      <c r="X46">
        <f>NETWORKDAYS(Datos!I46,Datos!I46+10)</f>
        <v/>
      </c>
    </row>
    <row r="47">
      <c r="A47">
        <f>Datos!A47</f>
        <v/>
      </c>
      <c r="B47">
        <f>Datos!B47&amp;" "&amp;Datos!C47</f>
        <v/>
      </c>
      <c r="C47">
        <f>CONCAT(Datos!B47," ",Datos!C47)</f>
        <v/>
      </c>
      <c r="D47">
        <f>CONCATENATE(Datos!B47,"-",Datos!C47)</f>
        <v/>
      </c>
      <c r="E47">
        <f>UPPER(B47)</f>
        <v/>
      </c>
      <c r="F47">
        <f>LOWER(B47)</f>
        <v/>
      </c>
      <c r="G47">
        <f>PROPER(B47)</f>
        <v/>
      </c>
      <c r="H47">
        <f>LEFT(B47,3)</f>
        <v/>
      </c>
      <c r="I47">
        <f>RIGHT(B47,4)</f>
        <v/>
      </c>
      <c r="J47">
        <f>MID(B47,2,5)</f>
        <v/>
      </c>
      <c r="K47">
        <f>LEN(B47)</f>
        <v/>
      </c>
      <c r="L47">
        <f>FIND(" ",B47)</f>
        <v/>
      </c>
      <c r="M47">
        <f>SUBSTITUTE(B47," ","_")</f>
        <v/>
      </c>
      <c r="N47">
        <f>TRIM("  "&amp;B47&amp;"  ")</f>
        <v/>
      </c>
      <c r="O47">
        <f>TEXT(Datos!I47,"yyyy-mm-dd")</f>
        <v/>
      </c>
      <c r="P47" s="4">
        <f>DATE(YEAR(Datos!I47),MONTH(Datos!I47),DAY(Datos!I47))</f>
        <v/>
      </c>
      <c r="Q47">
        <f>YEAR(Datos!I47)</f>
        <v/>
      </c>
      <c r="R47">
        <f>MONTH(Datos!I47)</f>
        <v/>
      </c>
      <c r="S47">
        <f>DAY(Datos!I47)</f>
        <v/>
      </c>
      <c r="T47">
        <f>WEEKDAY(Datos!I47,2)</f>
        <v/>
      </c>
      <c r="U47" s="4">
        <f>EDATE(Datos!I47,2)</f>
        <v/>
      </c>
      <c r="V47" s="4">
        <f>EOMONTH(Datos!I47,0)</f>
        <v/>
      </c>
      <c r="W47">
        <f>TODAY()-Datos!I47</f>
        <v/>
      </c>
      <c r="X47">
        <f>NETWORKDAYS(Datos!I47,Datos!I47+10)</f>
        <v/>
      </c>
    </row>
    <row r="48">
      <c r="A48">
        <f>Datos!A48</f>
        <v/>
      </c>
      <c r="B48">
        <f>Datos!B48&amp;" "&amp;Datos!C48</f>
        <v/>
      </c>
      <c r="C48">
        <f>CONCAT(Datos!B48," ",Datos!C48)</f>
        <v/>
      </c>
      <c r="D48">
        <f>CONCATENATE(Datos!B48,"-",Datos!C48)</f>
        <v/>
      </c>
      <c r="E48">
        <f>UPPER(B48)</f>
        <v/>
      </c>
      <c r="F48">
        <f>LOWER(B48)</f>
        <v/>
      </c>
      <c r="G48">
        <f>PROPER(B48)</f>
        <v/>
      </c>
      <c r="H48">
        <f>LEFT(B48,3)</f>
        <v/>
      </c>
      <c r="I48">
        <f>RIGHT(B48,4)</f>
        <v/>
      </c>
      <c r="J48">
        <f>MID(B48,2,5)</f>
        <v/>
      </c>
      <c r="K48">
        <f>LEN(B48)</f>
        <v/>
      </c>
      <c r="L48">
        <f>FIND(" ",B48)</f>
        <v/>
      </c>
      <c r="M48">
        <f>SUBSTITUTE(B48," ","_")</f>
        <v/>
      </c>
      <c r="N48">
        <f>TRIM("  "&amp;B48&amp;"  ")</f>
        <v/>
      </c>
      <c r="O48">
        <f>TEXT(Datos!I48,"yyyy-mm-dd")</f>
        <v/>
      </c>
      <c r="P48" s="4">
        <f>DATE(YEAR(Datos!I48),MONTH(Datos!I48),DAY(Datos!I48))</f>
        <v/>
      </c>
      <c r="Q48">
        <f>YEAR(Datos!I48)</f>
        <v/>
      </c>
      <c r="R48">
        <f>MONTH(Datos!I48)</f>
        <v/>
      </c>
      <c r="S48">
        <f>DAY(Datos!I48)</f>
        <v/>
      </c>
      <c r="T48">
        <f>WEEKDAY(Datos!I48,2)</f>
        <v/>
      </c>
      <c r="U48" s="4">
        <f>EDATE(Datos!I48,2)</f>
        <v/>
      </c>
      <c r="V48" s="4">
        <f>EOMONTH(Datos!I48,0)</f>
        <v/>
      </c>
      <c r="W48">
        <f>TODAY()-Datos!I48</f>
        <v/>
      </c>
      <c r="X48">
        <f>NETWORKDAYS(Datos!I48,Datos!I48+10)</f>
        <v/>
      </c>
    </row>
    <row r="49">
      <c r="A49">
        <f>Datos!A49</f>
        <v/>
      </c>
      <c r="B49">
        <f>Datos!B49&amp;" "&amp;Datos!C49</f>
        <v/>
      </c>
      <c r="C49">
        <f>CONCAT(Datos!B49," ",Datos!C49)</f>
        <v/>
      </c>
      <c r="D49">
        <f>CONCATENATE(Datos!B49,"-",Datos!C49)</f>
        <v/>
      </c>
      <c r="E49">
        <f>UPPER(B49)</f>
        <v/>
      </c>
      <c r="F49">
        <f>LOWER(B49)</f>
        <v/>
      </c>
      <c r="G49">
        <f>PROPER(B49)</f>
        <v/>
      </c>
      <c r="H49">
        <f>LEFT(B49,3)</f>
        <v/>
      </c>
      <c r="I49">
        <f>RIGHT(B49,4)</f>
        <v/>
      </c>
      <c r="J49">
        <f>MID(B49,2,5)</f>
        <v/>
      </c>
      <c r="K49">
        <f>LEN(B49)</f>
        <v/>
      </c>
      <c r="L49">
        <f>FIND(" ",B49)</f>
        <v/>
      </c>
      <c r="M49">
        <f>SUBSTITUTE(B49," ","_")</f>
        <v/>
      </c>
      <c r="N49">
        <f>TRIM("  "&amp;B49&amp;"  ")</f>
        <v/>
      </c>
      <c r="O49">
        <f>TEXT(Datos!I49,"yyyy-mm-dd")</f>
        <v/>
      </c>
      <c r="P49" s="4">
        <f>DATE(YEAR(Datos!I49),MONTH(Datos!I49),DAY(Datos!I49))</f>
        <v/>
      </c>
      <c r="Q49">
        <f>YEAR(Datos!I49)</f>
        <v/>
      </c>
      <c r="R49">
        <f>MONTH(Datos!I49)</f>
        <v/>
      </c>
      <c r="S49">
        <f>DAY(Datos!I49)</f>
        <v/>
      </c>
      <c r="T49">
        <f>WEEKDAY(Datos!I49,2)</f>
        <v/>
      </c>
      <c r="U49" s="4">
        <f>EDATE(Datos!I49,2)</f>
        <v/>
      </c>
      <c r="V49" s="4">
        <f>EOMONTH(Datos!I49,0)</f>
        <v/>
      </c>
      <c r="W49">
        <f>TODAY()-Datos!I49</f>
        <v/>
      </c>
      <c r="X49">
        <f>NETWORKDAYS(Datos!I49,Datos!I49+10)</f>
        <v/>
      </c>
    </row>
    <row r="50">
      <c r="A50">
        <f>Datos!A50</f>
        <v/>
      </c>
      <c r="B50">
        <f>Datos!B50&amp;" "&amp;Datos!C50</f>
        <v/>
      </c>
      <c r="C50">
        <f>CONCAT(Datos!B50," ",Datos!C50)</f>
        <v/>
      </c>
      <c r="D50">
        <f>CONCATENATE(Datos!B50,"-",Datos!C50)</f>
        <v/>
      </c>
      <c r="E50">
        <f>UPPER(B50)</f>
        <v/>
      </c>
      <c r="F50">
        <f>LOWER(B50)</f>
        <v/>
      </c>
      <c r="G50">
        <f>PROPER(B50)</f>
        <v/>
      </c>
      <c r="H50">
        <f>LEFT(B50,3)</f>
        <v/>
      </c>
      <c r="I50">
        <f>RIGHT(B50,4)</f>
        <v/>
      </c>
      <c r="J50">
        <f>MID(B50,2,5)</f>
        <v/>
      </c>
      <c r="K50">
        <f>LEN(B50)</f>
        <v/>
      </c>
      <c r="L50">
        <f>FIND(" ",B50)</f>
        <v/>
      </c>
      <c r="M50">
        <f>SUBSTITUTE(B50," ","_")</f>
        <v/>
      </c>
      <c r="N50">
        <f>TRIM("  "&amp;B50&amp;"  ")</f>
        <v/>
      </c>
      <c r="O50">
        <f>TEXT(Datos!I50,"yyyy-mm-dd")</f>
        <v/>
      </c>
      <c r="P50" s="4">
        <f>DATE(YEAR(Datos!I50),MONTH(Datos!I50),DAY(Datos!I50))</f>
        <v/>
      </c>
      <c r="Q50">
        <f>YEAR(Datos!I50)</f>
        <v/>
      </c>
      <c r="R50">
        <f>MONTH(Datos!I50)</f>
        <v/>
      </c>
      <c r="S50">
        <f>DAY(Datos!I50)</f>
        <v/>
      </c>
      <c r="T50">
        <f>WEEKDAY(Datos!I50,2)</f>
        <v/>
      </c>
      <c r="U50" s="4">
        <f>EDATE(Datos!I50,2)</f>
        <v/>
      </c>
      <c r="V50" s="4">
        <f>EOMONTH(Datos!I50,0)</f>
        <v/>
      </c>
      <c r="W50">
        <f>TODAY()-Datos!I50</f>
        <v/>
      </c>
      <c r="X50">
        <f>NETWORKDAYS(Datos!I50,Datos!I50+10)</f>
        <v/>
      </c>
    </row>
    <row r="51">
      <c r="A51">
        <f>Datos!A51</f>
        <v/>
      </c>
      <c r="B51">
        <f>Datos!B51&amp;" "&amp;Datos!C51</f>
        <v/>
      </c>
      <c r="C51">
        <f>CONCAT(Datos!B51," ",Datos!C51)</f>
        <v/>
      </c>
      <c r="D51">
        <f>CONCATENATE(Datos!B51,"-",Datos!C51)</f>
        <v/>
      </c>
      <c r="E51">
        <f>UPPER(B51)</f>
        <v/>
      </c>
      <c r="F51">
        <f>LOWER(B51)</f>
        <v/>
      </c>
      <c r="G51">
        <f>PROPER(B51)</f>
        <v/>
      </c>
      <c r="H51">
        <f>LEFT(B51,3)</f>
        <v/>
      </c>
      <c r="I51">
        <f>RIGHT(B51,4)</f>
        <v/>
      </c>
      <c r="J51">
        <f>MID(B51,2,5)</f>
        <v/>
      </c>
      <c r="K51">
        <f>LEN(B51)</f>
        <v/>
      </c>
      <c r="L51">
        <f>FIND(" ",B51)</f>
        <v/>
      </c>
      <c r="M51">
        <f>SUBSTITUTE(B51," ","_")</f>
        <v/>
      </c>
      <c r="N51">
        <f>TRIM("  "&amp;B51&amp;"  ")</f>
        <v/>
      </c>
      <c r="O51">
        <f>TEXT(Datos!I51,"yyyy-mm-dd")</f>
        <v/>
      </c>
      <c r="P51" s="4">
        <f>DATE(YEAR(Datos!I51),MONTH(Datos!I51),DAY(Datos!I51))</f>
        <v/>
      </c>
      <c r="Q51">
        <f>YEAR(Datos!I51)</f>
        <v/>
      </c>
      <c r="R51">
        <f>MONTH(Datos!I51)</f>
        <v/>
      </c>
      <c r="S51">
        <f>DAY(Datos!I51)</f>
        <v/>
      </c>
      <c r="T51">
        <f>WEEKDAY(Datos!I51,2)</f>
        <v/>
      </c>
      <c r="U51" s="4">
        <f>EDATE(Datos!I51,2)</f>
        <v/>
      </c>
      <c r="V51" s="4">
        <f>EOMONTH(Datos!I51,0)</f>
        <v/>
      </c>
      <c r="W51">
        <f>TODAY()-Datos!I51</f>
        <v/>
      </c>
      <c r="X51">
        <f>NETWORKDAYS(Datos!I51,Datos!I51+10)</f>
        <v/>
      </c>
    </row>
  </sheetData>
  <autoFilter ref="A1:X51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34" customWidth="1" min="4" max="4"/>
    <col width="32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ID buscado</t>
        </is>
      </c>
      <c r="B1" s="1" t="inlineStr">
        <is>
          <t>VLOOKUP nombre</t>
        </is>
      </c>
      <c r="C1" s="1" t="inlineStr">
        <is>
          <t>HLOOKUP ejemplo</t>
        </is>
      </c>
      <c r="D1" s="1" t="inlineStr">
        <is>
          <t>INDEX</t>
        </is>
      </c>
      <c r="E1" s="1" t="inlineStr">
        <is>
          <t>MATCH</t>
        </is>
      </c>
      <c r="F1" s="1" t="inlineStr">
        <is>
          <t>INDEX+MATCH apellido</t>
        </is>
      </c>
      <c r="G1" s="1" t="inlineStr">
        <is>
          <t>CHOOSE</t>
        </is>
      </c>
      <c r="H1" s="1" t="inlineStr">
        <is>
          <t>LOOKUP aprox</t>
        </is>
      </c>
      <c r="I1" s="1" t="inlineStr">
        <is>
          <t>IFNA</t>
        </is>
      </c>
      <c r="J1" s="1" t="inlineStr">
        <is>
          <t>COUNTIFS</t>
        </is>
      </c>
      <c r="K1" s="1" t="inlineStr">
        <is>
          <t>SUMIFS</t>
        </is>
      </c>
      <c r="L1" s="1" t="inlineStr">
        <is>
          <t>AVERAGEIFS</t>
        </is>
      </c>
      <c r="M1" s="1" t="n"/>
      <c r="N1" s="1" t="inlineStr">
        <is>
          <t>Codigo</t>
        </is>
      </c>
      <c r="O1" s="1" t="inlineStr">
        <is>
          <t>A</t>
        </is>
      </c>
      <c r="P1" s="1" t="inlineStr">
        <is>
          <t>B</t>
        </is>
      </c>
      <c r="Q1" s="1" t="inlineStr">
        <is>
          <t>C</t>
        </is>
      </c>
    </row>
    <row r="2">
      <c r="N2" t="inlineStr">
        <is>
          <t>Nivel</t>
        </is>
      </c>
      <c r="O2" t="inlineStr">
        <is>
          <t>Bronce</t>
        </is>
      </c>
      <c r="P2" t="inlineStr">
        <is>
          <t>Plata</t>
        </is>
      </c>
      <c r="Q2" t="inlineStr">
        <is>
          <t>Oro</t>
        </is>
      </c>
    </row>
    <row r="3">
      <c r="A3">
        <f>Datos!A2</f>
        <v/>
      </c>
      <c r="B3">
        <f>VLOOKUP(A3,Datos!$A$2:$K$51,2,FALSE)</f>
        <v/>
      </c>
      <c r="C3">
        <f>HLOOKUP(CHOOSE(MOD(ROW()-3,3)+1,"A","B","C"),$O$1:$Q$2,2,FALSE)</f>
        <v/>
      </c>
      <c r="D3">
        <f>INDEX(Datos!$B$2:$B$51,MATCH(A3,Datos!$A$2:$A$51,0))</f>
        <v/>
      </c>
      <c r="E3">
        <f>MATCH(A3,Datos!$A$2:$A$51,0)</f>
        <v/>
      </c>
      <c r="F3">
        <f>INDEX(Datos!$C$2:$C$51,MATCH(A3,Datos!$A$2:$A$51,0))</f>
        <v/>
      </c>
      <c r="G3">
        <f>CHOOSE(MOD(ROW(),3)+1,"Rojo","Verde","Azul")</f>
        <v/>
      </c>
      <c r="H3">
        <f>LOOKUP(Datos!F2,{1,8,15},{"Bajo","Medio","Alto"})</f>
        <v/>
      </c>
      <c r="I3">
        <f>IFNA(VLOOKUP(-1,Datos!$A$2:$B$51,2,FALSE),"No encontrado")</f>
        <v/>
      </c>
      <c r="J3">
        <f>COUNTIFS(Datos!D$2:D$51,Datos!D2,Datos!J$2:J$51,Datos!J2)</f>
        <v/>
      </c>
      <c r="K3">
        <f>SUMIFS(Calculos!C$2:C$51,Datos!D$2:D$51,Datos!D2,Datos!J$2:J$51,Datos!J2)</f>
        <v/>
      </c>
      <c r="L3">
        <f>AVERAGEIFS(Calculos!E$2:E$51,Datos!D$2:D$51,Datos!D2,Datos!J$2:J$51,Datos!J2)</f>
        <v/>
      </c>
    </row>
    <row r="4">
      <c r="A4">
        <f>Datos!A3</f>
        <v/>
      </c>
      <c r="B4">
        <f>VLOOKUP(A4,Datos!$A$2:$K$51,2,FALSE)</f>
        <v/>
      </c>
      <c r="C4">
        <f>HLOOKUP(CHOOSE(MOD(ROW()-3,3)+1,"A","B","C"),$O$1:$Q$2,2,FALSE)</f>
        <v/>
      </c>
      <c r="D4">
        <f>INDEX(Datos!$B$2:$B$51,MATCH(A4,Datos!$A$2:$A$51,0))</f>
        <v/>
      </c>
      <c r="E4">
        <f>MATCH(A4,Datos!$A$2:$A$51,0)</f>
        <v/>
      </c>
      <c r="F4">
        <f>INDEX(Datos!$C$2:$C$51,MATCH(A4,Datos!$A$2:$A$51,0))</f>
        <v/>
      </c>
      <c r="G4">
        <f>CHOOSE(MOD(ROW(),3)+1,"Rojo","Verde","Azul")</f>
        <v/>
      </c>
      <c r="H4">
        <f>LOOKUP(Datos!F3,{1,8,15},{"Bajo","Medio","Alto"})</f>
        <v/>
      </c>
      <c r="I4">
        <f>IFNA(VLOOKUP(-1,Datos!$A$2:$B$51,2,FALSE),"No encontrado")</f>
        <v/>
      </c>
      <c r="J4">
        <f>COUNTIFS(Datos!D$2:D$51,Datos!D3,Datos!J$2:J$51,Datos!J3)</f>
        <v/>
      </c>
      <c r="K4">
        <f>SUMIFS(Calculos!C$2:C$51,Datos!D$2:D$51,Datos!D3,Datos!J$2:J$51,Datos!J3)</f>
        <v/>
      </c>
      <c r="L4">
        <f>AVERAGEIFS(Calculos!E$2:E$51,Datos!D$2:D$51,Datos!D3,Datos!J$2:J$51,Datos!J3)</f>
        <v/>
      </c>
    </row>
    <row r="5">
      <c r="A5">
        <f>Datos!A4</f>
        <v/>
      </c>
      <c r="B5">
        <f>VLOOKUP(A5,Datos!$A$2:$K$51,2,FALSE)</f>
        <v/>
      </c>
      <c r="C5">
        <f>HLOOKUP(CHOOSE(MOD(ROW()-3,3)+1,"A","B","C"),$O$1:$Q$2,2,FALSE)</f>
        <v/>
      </c>
      <c r="D5">
        <f>INDEX(Datos!$B$2:$B$51,MATCH(A5,Datos!$A$2:$A$51,0))</f>
        <v/>
      </c>
      <c r="E5">
        <f>MATCH(A5,Datos!$A$2:$A$51,0)</f>
        <v/>
      </c>
      <c r="F5">
        <f>INDEX(Datos!$C$2:$C$51,MATCH(A5,Datos!$A$2:$A$51,0))</f>
        <v/>
      </c>
      <c r="G5">
        <f>CHOOSE(MOD(ROW(),3)+1,"Rojo","Verde","Azul")</f>
        <v/>
      </c>
      <c r="H5">
        <f>LOOKUP(Datos!F4,{1,8,15},{"Bajo","Medio","Alto"})</f>
        <v/>
      </c>
      <c r="I5">
        <f>IFNA(VLOOKUP(-1,Datos!$A$2:$B$51,2,FALSE),"No encontrado")</f>
        <v/>
      </c>
      <c r="J5">
        <f>COUNTIFS(Datos!D$2:D$51,Datos!D4,Datos!J$2:J$51,Datos!J4)</f>
        <v/>
      </c>
      <c r="K5">
        <f>SUMIFS(Calculos!C$2:C$51,Datos!D$2:D$51,Datos!D4,Datos!J$2:J$51,Datos!J4)</f>
        <v/>
      </c>
      <c r="L5">
        <f>AVERAGEIFS(Calculos!E$2:E$51,Datos!D$2:D$51,Datos!D4,Datos!J$2:J$51,Datos!J4)</f>
        <v/>
      </c>
    </row>
    <row r="6">
      <c r="A6">
        <f>Datos!A5</f>
        <v/>
      </c>
      <c r="B6">
        <f>VLOOKUP(A6,Datos!$A$2:$K$51,2,FALSE)</f>
        <v/>
      </c>
      <c r="C6">
        <f>HLOOKUP(CHOOSE(MOD(ROW()-3,3)+1,"A","B","C"),$O$1:$Q$2,2,FALSE)</f>
        <v/>
      </c>
      <c r="D6">
        <f>INDEX(Datos!$B$2:$B$51,MATCH(A6,Datos!$A$2:$A$51,0))</f>
        <v/>
      </c>
      <c r="E6">
        <f>MATCH(A6,Datos!$A$2:$A$51,0)</f>
        <v/>
      </c>
      <c r="F6">
        <f>INDEX(Datos!$C$2:$C$51,MATCH(A6,Datos!$A$2:$A$51,0))</f>
        <v/>
      </c>
      <c r="G6">
        <f>CHOOSE(MOD(ROW(),3)+1,"Rojo","Verde","Azul")</f>
        <v/>
      </c>
      <c r="H6">
        <f>LOOKUP(Datos!F5,{1,8,15},{"Bajo","Medio","Alto"})</f>
        <v/>
      </c>
      <c r="I6">
        <f>IFNA(VLOOKUP(-1,Datos!$A$2:$B$51,2,FALSE),"No encontrado")</f>
        <v/>
      </c>
      <c r="J6">
        <f>COUNTIFS(Datos!D$2:D$51,Datos!D5,Datos!J$2:J$51,Datos!J5)</f>
        <v/>
      </c>
      <c r="K6">
        <f>SUMIFS(Calculos!C$2:C$51,Datos!D$2:D$51,Datos!D5,Datos!J$2:J$51,Datos!J5)</f>
        <v/>
      </c>
      <c r="L6">
        <f>AVERAGEIFS(Calculos!E$2:E$51,Datos!D$2:D$51,Datos!D5,Datos!J$2:J$51,Datos!J5)</f>
        <v/>
      </c>
    </row>
    <row r="7">
      <c r="A7">
        <f>Datos!A6</f>
        <v/>
      </c>
      <c r="B7">
        <f>VLOOKUP(A7,Datos!$A$2:$K$51,2,FALSE)</f>
        <v/>
      </c>
      <c r="C7">
        <f>HLOOKUP(CHOOSE(MOD(ROW()-3,3)+1,"A","B","C"),$O$1:$Q$2,2,FALSE)</f>
        <v/>
      </c>
      <c r="D7">
        <f>INDEX(Datos!$B$2:$B$51,MATCH(A7,Datos!$A$2:$A$51,0))</f>
        <v/>
      </c>
      <c r="E7">
        <f>MATCH(A7,Datos!$A$2:$A$51,0)</f>
        <v/>
      </c>
      <c r="F7">
        <f>INDEX(Datos!$C$2:$C$51,MATCH(A7,Datos!$A$2:$A$51,0))</f>
        <v/>
      </c>
      <c r="G7">
        <f>CHOOSE(MOD(ROW(),3)+1,"Rojo","Verde","Azul")</f>
        <v/>
      </c>
      <c r="H7">
        <f>LOOKUP(Datos!F6,{1,8,15},{"Bajo","Medio","Alto"})</f>
        <v/>
      </c>
      <c r="I7">
        <f>IFNA(VLOOKUP(-1,Datos!$A$2:$B$51,2,FALSE),"No encontrado")</f>
        <v/>
      </c>
      <c r="J7">
        <f>COUNTIFS(Datos!D$2:D$51,Datos!D6,Datos!J$2:J$51,Datos!J6)</f>
        <v/>
      </c>
      <c r="K7">
        <f>SUMIFS(Calculos!C$2:C$51,Datos!D$2:D$51,Datos!D6,Datos!J$2:J$51,Datos!J6)</f>
        <v/>
      </c>
      <c r="L7">
        <f>AVERAGEIFS(Calculos!E$2:E$51,Datos!D$2:D$51,Datos!D6,Datos!J$2:J$51,Datos!J6)</f>
        <v/>
      </c>
    </row>
    <row r="8">
      <c r="A8">
        <f>Datos!A7</f>
        <v/>
      </c>
      <c r="B8">
        <f>VLOOKUP(A8,Datos!$A$2:$K$51,2,FALSE)</f>
        <v/>
      </c>
      <c r="C8">
        <f>HLOOKUP(CHOOSE(MOD(ROW()-3,3)+1,"A","B","C"),$O$1:$Q$2,2,FALSE)</f>
        <v/>
      </c>
      <c r="D8">
        <f>INDEX(Datos!$B$2:$B$51,MATCH(A8,Datos!$A$2:$A$51,0))</f>
        <v/>
      </c>
      <c r="E8">
        <f>MATCH(A8,Datos!$A$2:$A$51,0)</f>
        <v/>
      </c>
      <c r="F8">
        <f>INDEX(Datos!$C$2:$C$51,MATCH(A8,Datos!$A$2:$A$51,0))</f>
        <v/>
      </c>
      <c r="G8">
        <f>CHOOSE(MOD(ROW(),3)+1,"Rojo","Verde","Azul")</f>
        <v/>
      </c>
      <c r="H8">
        <f>LOOKUP(Datos!F7,{1,8,15},{"Bajo","Medio","Alto"})</f>
        <v/>
      </c>
      <c r="I8">
        <f>IFNA(VLOOKUP(-1,Datos!$A$2:$B$51,2,FALSE),"No encontrado")</f>
        <v/>
      </c>
      <c r="J8">
        <f>COUNTIFS(Datos!D$2:D$51,Datos!D7,Datos!J$2:J$51,Datos!J7)</f>
        <v/>
      </c>
      <c r="K8">
        <f>SUMIFS(Calculos!C$2:C$51,Datos!D$2:D$51,Datos!D7,Datos!J$2:J$51,Datos!J7)</f>
        <v/>
      </c>
      <c r="L8">
        <f>AVERAGEIFS(Calculos!E$2:E$51,Datos!D$2:D$51,Datos!D7,Datos!J$2:J$51,Datos!J7)</f>
        <v/>
      </c>
    </row>
    <row r="9">
      <c r="A9">
        <f>Datos!A8</f>
        <v/>
      </c>
      <c r="B9">
        <f>VLOOKUP(A9,Datos!$A$2:$K$51,2,FALSE)</f>
        <v/>
      </c>
      <c r="C9">
        <f>HLOOKUP(CHOOSE(MOD(ROW()-3,3)+1,"A","B","C"),$O$1:$Q$2,2,FALSE)</f>
        <v/>
      </c>
      <c r="D9">
        <f>INDEX(Datos!$B$2:$B$51,MATCH(A9,Datos!$A$2:$A$51,0))</f>
        <v/>
      </c>
      <c r="E9">
        <f>MATCH(A9,Datos!$A$2:$A$51,0)</f>
        <v/>
      </c>
      <c r="F9">
        <f>INDEX(Datos!$C$2:$C$51,MATCH(A9,Datos!$A$2:$A$51,0))</f>
        <v/>
      </c>
      <c r="G9">
        <f>CHOOSE(MOD(ROW(),3)+1,"Rojo","Verde","Azul")</f>
        <v/>
      </c>
      <c r="H9">
        <f>LOOKUP(Datos!F8,{1,8,15},{"Bajo","Medio","Alto"})</f>
        <v/>
      </c>
      <c r="I9">
        <f>IFNA(VLOOKUP(-1,Datos!$A$2:$B$51,2,FALSE),"No encontrado")</f>
        <v/>
      </c>
      <c r="J9">
        <f>COUNTIFS(Datos!D$2:D$51,Datos!D8,Datos!J$2:J$51,Datos!J8)</f>
        <v/>
      </c>
      <c r="K9">
        <f>SUMIFS(Calculos!C$2:C$51,Datos!D$2:D$51,Datos!D8,Datos!J$2:J$51,Datos!J8)</f>
        <v/>
      </c>
      <c r="L9">
        <f>AVERAGEIFS(Calculos!E$2:E$51,Datos!D$2:D$51,Datos!D8,Datos!J$2:J$51,Datos!J8)</f>
        <v/>
      </c>
    </row>
    <row r="10">
      <c r="A10">
        <f>Datos!A9</f>
        <v/>
      </c>
      <c r="B10">
        <f>VLOOKUP(A10,Datos!$A$2:$K$51,2,FALSE)</f>
        <v/>
      </c>
      <c r="C10">
        <f>HLOOKUP(CHOOSE(MOD(ROW()-3,3)+1,"A","B","C"),$O$1:$Q$2,2,FALSE)</f>
        <v/>
      </c>
      <c r="D10">
        <f>INDEX(Datos!$B$2:$B$51,MATCH(A10,Datos!$A$2:$A$51,0))</f>
        <v/>
      </c>
      <c r="E10">
        <f>MATCH(A10,Datos!$A$2:$A$51,0)</f>
        <v/>
      </c>
      <c r="F10">
        <f>INDEX(Datos!$C$2:$C$51,MATCH(A10,Datos!$A$2:$A$51,0))</f>
        <v/>
      </c>
      <c r="G10">
        <f>CHOOSE(MOD(ROW(),3)+1,"Rojo","Verde","Azul")</f>
        <v/>
      </c>
      <c r="H10">
        <f>LOOKUP(Datos!F9,{1,8,15},{"Bajo","Medio","Alto"})</f>
        <v/>
      </c>
      <c r="I10">
        <f>IFNA(VLOOKUP(-1,Datos!$A$2:$B$51,2,FALSE),"No encontrado")</f>
        <v/>
      </c>
      <c r="J10">
        <f>COUNTIFS(Datos!D$2:D$51,Datos!D9,Datos!J$2:J$51,Datos!J9)</f>
        <v/>
      </c>
      <c r="K10">
        <f>SUMIFS(Calculos!C$2:C$51,Datos!D$2:D$51,Datos!D9,Datos!J$2:J$51,Datos!J9)</f>
        <v/>
      </c>
      <c r="L10">
        <f>AVERAGEIFS(Calculos!E$2:E$51,Datos!D$2:D$51,Datos!D9,Datos!J$2:J$51,Datos!J9)</f>
        <v/>
      </c>
    </row>
    <row r="11">
      <c r="A11">
        <f>Datos!A10</f>
        <v/>
      </c>
      <c r="B11">
        <f>VLOOKUP(A11,Datos!$A$2:$K$51,2,FALSE)</f>
        <v/>
      </c>
      <c r="C11">
        <f>HLOOKUP(CHOOSE(MOD(ROW()-3,3)+1,"A","B","C"),$O$1:$Q$2,2,FALSE)</f>
        <v/>
      </c>
      <c r="D11">
        <f>INDEX(Datos!$B$2:$B$51,MATCH(A11,Datos!$A$2:$A$51,0))</f>
        <v/>
      </c>
      <c r="E11">
        <f>MATCH(A11,Datos!$A$2:$A$51,0)</f>
        <v/>
      </c>
      <c r="F11">
        <f>INDEX(Datos!$C$2:$C$51,MATCH(A11,Datos!$A$2:$A$51,0))</f>
        <v/>
      </c>
      <c r="G11">
        <f>CHOOSE(MOD(ROW(),3)+1,"Rojo","Verde","Azul")</f>
        <v/>
      </c>
      <c r="H11">
        <f>LOOKUP(Datos!F10,{1,8,15},{"Bajo","Medio","Alto"})</f>
        <v/>
      </c>
      <c r="I11">
        <f>IFNA(VLOOKUP(-1,Datos!$A$2:$B$51,2,FALSE),"No encontrado")</f>
        <v/>
      </c>
      <c r="J11">
        <f>COUNTIFS(Datos!D$2:D$51,Datos!D10,Datos!J$2:J$51,Datos!J10)</f>
        <v/>
      </c>
      <c r="K11">
        <f>SUMIFS(Calculos!C$2:C$51,Datos!D$2:D$51,Datos!D10,Datos!J$2:J$51,Datos!J10)</f>
        <v/>
      </c>
      <c r="L11">
        <f>AVERAGEIFS(Calculos!E$2:E$51,Datos!D$2:D$51,Datos!D10,Datos!J$2:J$51,Datos!J10)</f>
        <v/>
      </c>
    </row>
    <row r="12">
      <c r="A12">
        <f>Datos!A11</f>
        <v/>
      </c>
      <c r="B12">
        <f>VLOOKUP(A12,Datos!$A$2:$K$51,2,FALSE)</f>
        <v/>
      </c>
      <c r="C12">
        <f>HLOOKUP(CHOOSE(MOD(ROW()-3,3)+1,"A","B","C"),$O$1:$Q$2,2,FALSE)</f>
        <v/>
      </c>
      <c r="D12">
        <f>INDEX(Datos!$B$2:$B$51,MATCH(A12,Datos!$A$2:$A$51,0))</f>
        <v/>
      </c>
      <c r="E12">
        <f>MATCH(A12,Datos!$A$2:$A$51,0)</f>
        <v/>
      </c>
      <c r="F12">
        <f>INDEX(Datos!$C$2:$C$51,MATCH(A12,Datos!$A$2:$A$51,0))</f>
        <v/>
      </c>
      <c r="G12">
        <f>CHOOSE(MOD(ROW(),3)+1,"Rojo","Verde","Azul")</f>
        <v/>
      </c>
      <c r="H12">
        <f>LOOKUP(Datos!F11,{1,8,15},{"Bajo","Medio","Alto"})</f>
        <v/>
      </c>
      <c r="I12">
        <f>IFNA(VLOOKUP(-1,Datos!$A$2:$B$51,2,FALSE),"No encontrado")</f>
        <v/>
      </c>
      <c r="J12">
        <f>COUNTIFS(Datos!D$2:D$51,Datos!D11,Datos!J$2:J$51,Datos!J11)</f>
        <v/>
      </c>
      <c r="K12">
        <f>SUMIFS(Calculos!C$2:C$51,Datos!D$2:D$51,Datos!D11,Datos!J$2:J$51,Datos!J11)</f>
        <v/>
      </c>
      <c r="L12">
        <f>AVERAGEIFS(Calculos!E$2:E$51,Datos!D$2:D$51,Datos!D11,Datos!J$2:J$51,Datos!J11)</f>
        <v/>
      </c>
    </row>
    <row r="13">
      <c r="A13">
        <f>Datos!A12</f>
        <v/>
      </c>
      <c r="B13">
        <f>VLOOKUP(A13,Datos!$A$2:$K$51,2,FALSE)</f>
        <v/>
      </c>
      <c r="C13">
        <f>HLOOKUP(CHOOSE(MOD(ROW()-3,3)+1,"A","B","C"),$O$1:$Q$2,2,FALSE)</f>
        <v/>
      </c>
      <c r="D13">
        <f>INDEX(Datos!$B$2:$B$51,MATCH(A13,Datos!$A$2:$A$51,0))</f>
        <v/>
      </c>
      <c r="E13">
        <f>MATCH(A13,Datos!$A$2:$A$51,0)</f>
        <v/>
      </c>
      <c r="F13">
        <f>INDEX(Datos!$C$2:$C$51,MATCH(A13,Datos!$A$2:$A$51,0))</f>
        <v/>
      </c>
      <c r="G13">
        <f>CHOOSE(MOD(ROW(),3)+1,"Rojo","Verde","Azul")</f>
        <v/>
      </c>
      <c r="H13">
        <f>LOOKUP(Datos!F12,{1,8,15},{"Bajo","Medio","Alto"})</f>
        <v/>
      </c>
      <c r="I13">
        <f>IFNA(VLOOKUP(-1,Datos!$A$2:$B$51,2,FALSE),"No encontrado")</f>
        <v/>
      </c>
      <c r="J13">
        <f>COUNTIFS(Datos!D$2:D$51,Datos!D12,Datos!J$2:J$51,Datos!J12)</f>
        <v/>
      </c>
      <c r="K13">
        <f>SUMIFS(Calculos!C$2:C$51,Datos!D$2:D$51,Datos!D12,Datos!J$2:J$51,Datos!J12)</f>
        <v/>
      </c>
      <c r="L13">
        <f>AVERAGEIFS(Calculos!E$2:E$51,Datos!D$2:D$51,Datos!D12,Datos!J$2:J$51,Datos!J12)</f>
        <v/>
      </c>
    </row>
    <row r="14">
      <c r="A14">
        <f>Datos!A13</f>
        <v/>
      </c>
      <c r="B14">
        <f>VLOOKUP(A14,Datos!$A$2:$K$51,2,FALSE)</f>
        <v/>
      </c>
      <c r="C14">
        <f>HLOOKUP(CHOOSE(MOD(ROW()-3,3)+1,"A","B","C"),$O$1:$Q$2,2,FALSE)</f>
        <v/>
      </c>
      <c r="D14">
        <f>INDEX(Datos!$B$2:$B$51,MATCH(A14,Datos!$A$2:$A$51,0))</f>
        <v/>
      </c>
      <c r="E14">
        <f>MATCH(A14,Datos!$A$2:$A$51,0)</f>
        <v/>
      </c>
      <c r="F14">
        <f>INDEX(Datos!$C$2:$C$51,MATCH(A14,Datos!$A$2:$A$51,0))</f>
        <v/>
      </c>
      <c r="G14">
        <f>CHOOSE(MOD(ROW(),3)+1,"Rojo","Verde","Azul")</f>
        <v/>
      </c>
      <c r="H14">
        <f>LOOKUP(Datos!F13,{1,8,15},{"Bajo","Medio","Alto"})</f>
        <v/>
      </c>
      <c r="I14">
        <f>IFNA(VLOOKUP(-1,Datos!$A$2:$B$51,2,FALSE),"No encontrado")</f>
        <v/>
      </c>
      <c r="J14">
        <f>COUNTIFS(Datos!D$2:D$51,Datos!D13,Datos!J$2:J$51,Datos!J13)</f>
        <v/>
      </c>
      <c r="K14">
        <f>SUMIFS(Calculos!C$2:C$51,Datos!D$2:D$51,Datos!D13,Datos!J$2:J$51,Datos!J13)</f>
        <v/>
      </c>
      <c r="L14">
        <f>AVERAGEIFS(Calculos!E$2:E$51,Datos!D$2:D$51,Datos!D13,Datos!J$2:J$51,Datos!J13)</f>
        <v/>
      </c>
    </row>
    <row r="15">
      <c r="A15">
        <f>Datos!A14</f>
        <v/>
      </c>
      <c r="B15">
        <f>VLOOKUP(A15,Datos!$A$2:$K$51,2,FALSE)</f>
        <v/>
      </c>
      <c r="C15">
        <f>HLOOKUP(CHOOSE(MOD(ROW()-3,3)+1,"A","B","C"),$O$1:$Q$2,2,FALSE)</f>
        <v/>
      </c>
      <c r="D15">
        <f>INDEX(Datos!$B$2:$B$51,MATCH(A15,Datos!$A$2:$A$51,0))</f>
        <v/>
      </c>
      <c r="E15">
        <f>MATCH(A15,Datos!$A$2:$A$51,0)</f>
        <v/>
      </c>
      <c r="F15">
        <f>INDEX(Datos!$C$2:$C$51,MATCH(A15,Datos!$A$2:$A$51,0))</f>
        <v/>
      </c>
      <c r="G15">
        <f>CHOOSE(MOD(ROW(),3)+1,"Rojo","Verde","Azul")</f>
        <v/>
      </c>
      <c r="H15">
        <f>LOOKUP(Datos!F14,{1,8,15},{"Bajo","Medio","Alto"})</f>
        <v/>
      </c>
      <c r="I15">
        <f>IFNA(VLOOKUP(-1,Datos!$A$2:$B$51,2,FALSE),"No encontrado")</f>
        <v/>
      </c>
      <c r="J15">
        <f>COUNTIFS(Datos!D$2:D$51,Datos!D14,Datos!J$2:J$51,Datos!J14)</f>
        <v/>
      </c>
      <c r="K15">
        <f>SUMIFS(Calculos!C$2:C$51,Datos!D$2:D$51,Datos!D14,Datos!J$2:J$51,Datos!J14)</f>
        <v/>
      </c>
      <c r="L15">
        <f>AVERAGEIFS(Calculos!E$2:E$51,Datos!D$2:D$51,Datos!D14,Datos!J$2:J$51,Datos!J14)</f>
        <v/>
      </c>
    </row>
    <row r="16">
      <c r="A16">
        <f>Datos!A15</f>
        <v/>
      </c>
      <c r="B16">
        <f>VLOOKUP(A16,Datos!$A$2:$K$51,2,FALSE)</f>
        <v/>
      </c>
      <c r="C16">
        <f>HLOOKUP(CHOOSE(MOD(ROW()-3,3)+1,"A","B","C"),$O$1:$Q$2,2,FALSE)</f>
        <v/>
      </c>
      <c r="D16">
        <f>INDEX(Datos!$B$2:$B$51,MATCH(A16,Datos!$A$2:$A$51,0))</f>
        <v/>
      </c>
      <c r="E16">
        <f>MATCH(A16,Datos!$A$2:$A$51,0)</f>
        <v/>
      </c>
      <c r="F16">
        <f>INDEX(Datos!$C$2:$C$51,MATCH(A16,Datos!$A$2:$A$51,0))</f>
        <v/>
      </c>
      <c r="G16">
        <f>CHOOSE(MOD(ROW(),3)+1,"Rojo","Verde","Azul")</f>
        <v/>
      </c>
      <c r="H16">
        <f>LOOKUP(Datos!F15,{1,8,15},{"Bajo","Medio","Alto"})</f>
        <v/>
      </c>
      <c r="I16">
        <f>IFNA(VLOOKUP(-1,Datos!$A$2:$B$51,2,FALSE),"No encontrado")</f>
        <v/>
      </c>
      <c r="J16">
        <f>COUNTIFS(Datos!D$2:D$51,Datos!D15,Datos!J$2:J$51,Datos!J15)</f>
        <v/>
      </c>
      <c r="K16">
        <f>SUMIFS(Calculos!C$2:C$51,Datos!D$2:D$51,Datos!D15,Datos!J$2:J$51,Datos!J15)</f>
        <v/>
      </c>
      <c r="L16">
        <f>AVERAGEIFS(Calculos!E$2:E$51,Datos!D$2:D$51,Datos!D15,Datos!J$2:J$51,Datos!J15)</f>
        <v/>
      </c>
    </row>
    <row r="17">
      <c r="A17">
        <f>Datos!A16</f>
        <v/>
      </c>
      <c r="B17">
        <f>VLOOKUP(A17,Datos!$A$2:$K$51,2,FALSE)</f>
        <v/>
      </c>
      <c r="C17">
        <f>HLOOKUP(CHOOSE(MOD(ROW()-3,3)+1,"A","B","C"),$O$1:$Q$2,2,FALSE)</f>
        <v/>
      </c>
      <c r="D17">
        <f>INDEX(Datos!$B$2:$B$51,MATCH(A17,Datos!$A$2:$A$51,0))</f>
        <v/>
      </c>
      <c r="E17">
        <f>MATCH(A17,Datos!$A$2:$A$51,0)</f>
        <v/>
      </c>
      <c r="F17">
        <f>INDEX(Datos!$C$2:$C$51,MATCH(A17,Datos!$A$2:$A$51,0))</f>
        <v/>
      </c>
      <c r="G17">
        <f>CHOOSE(MOD(ROW(),3)+1,"Rojo","Verde","Azul")</f>
        <v/>
      </c>
      <c r="H17">
        <f>LOOKUP(Datos!F16,{1,8,15},{"Bajo","Medio","Alto"})</f>
        <v/>
      </c>
      <c r="I17">
        <f>IFNA(VLOOKUP(-1,Datos!$A$2:$B$51,2,FALSE),"No encontrado")</f>
        <v/>
      </c>
      <c r="J17">
        <f>COUNTIFS(Datos!D$2:D$51,Datos!D16,Datos!J$2:J$51,Datos!J16)</f>
        <v/>
      </c>
      <c r="K17">
        <f>SUMIFS(Calculos!C$2:C$51,Datos!D$2:D$51,Datos!D16,Datos!J$2:J$51,Datos!J16)</f>
        <v/>
      </c>
      <c r="L17">
        <f>AVERAGEIFS(Calculos!E$2:E$51,Datos!D$2:D$51,Datos!D16,Datos!J$2:J$51,Datos!J16)</f>
        <v/>
      </c>
    </row>
    <row r="18">
      <c r="A18">
        <f>Datos!A17</f>
        <v/>
      </c>
      <c r="B18">
        <f>VLOOKUP(A18,Datos!$A$2:$K$51,2,FALSE)</f>
        <v/>
      </c>
      <c r="C18">
        <f>HLOOKUP(CHOOSE(MOD(ROW()-3,3)+1,"A","B","C"),$O$1:$Q$2,2,FALSE)</f>
        <v/>
      </c>
      <c r="D18">
        <f>INDEX(Datos!$B$2:$B$51,MATCH(A18,Datos!$A$2:$A$51,0))</f>
        <v/>
      </c>
      <c r="E18">
        <f>MATCH(A18,Datos!$A$2:$A$51,0)</f>
        <v/>
      </c>
      <c r="F18">
        <f>INDEX(Datos!$C$2:$C$51,MATCH(A18,Datos!$A$2:$A$51,0))</f>
        <v/>
      </c>
      <c r="G18">
        <f>CHOOSE(MOD(ROW(),3)+1,"Rojo","Verde","Azul")</f>
        <v/>
      </c>
      <c r="H18">
        <f>LOOKUP(Datos!F17,{1,8,15},{"Bajo","Medio","Alto"})</f>
        <v/>
      </c>
      <c r="I18">
        <f>IFNA(VLOOKUP(-1,Datos!$A$2:$B$51,2,FALSE),"No encontrado")</f>
        <v/>
      </c>
      <c r="J18">
        <f>COUNTIFS(Datos!D$2:D$51,Datos!D17,Datos!J$2:J$51,Datos!J17)</f>
        <v/>
      </c>
      <c r="K18">
        <f>SUMIFS(Calculos!C$2:C$51,Datos!D$2:D$51,Datos!D17,Datos!J$2:J$51,Datos!J17)</f>
        <v/>
      </c>
      <c r="L18">
        <f>AVERAGEIFS(Calculos!E$2:E$51,Datos!D$2:D$51,Datos!D17,Datos!J$2:J$51,Datos!J17)</f>
        <v/>
      </c>
    </row>
    <row r="19">
      <c r="A19">
        <f>Datos!A18</f>
        <v/>
      </c>
      <c r="B19">
        <f>VLOOKUP(A19,Datos!$A$2:$K$51,2,FALSE)</f>
        <v/>
      </c>
      <c r="C19">
        <f>HLOOKUP(CHOOSE(MOD(ROW()-3,3)+1,"A","B","C"),$O$1:$Q$2,2,FALSE)</f>
        <v/>
      </c>
      <c r="D19">
        <f>INDEX(Datos!$B$2:$B$51,MATCH(A19,Datos!$A$2:$A$51,0))</f>
        <v/>
      </c>
      <c r="E19">
        <f>MATCH(A19,Datos!$A$2:$A$51,0)</f>
        <v/>
      </c>
      <c r="F19">
        <f>INDEX(Datos!$C$2:$C$51,MATCH(A19,Datos!$A$2:$A$51,0))</f>
        <v/>
      </c>
      <c r="G19">
        <f>CHOOSE(MOD(ROW(),3)+1,"Rojo","Verde","Azul")</f>
        <v/>
      </c>
      <c r="H19">
        <f>LOOKUP(Datos!F18,{1,8,15},{"Bajo","Medio","Alto"})</f>
        <v/>
      </c>
      <c r="I19">
        <f>IFNA(VLOOKUP(-1,Datos!$A$2:$B$51,2,FALSE),"No encontrado")</f>
        <v/>
      </c>
      <c r="J19">
        <f>COUNTIFS(Datos!D$2:D$51,Datos!D18,Datos!J$2:J$51,Datos!J18)</f>
        <v/>
      </c>
      <c r="K19">
        <f>SUMIFS(Calculos!C$2:C$51,Datos!D$2:D$51,Datos!D18,Datos!J$2:J$51,Datos!J18)</f>
        <v/>
      </c>
      <c r="L19">
        <f>AVERAGEIFS(Calculos!E$2:E$51,Datos!D$2:D$51,Datos!D18,Datos!J$2:J$51,Datos!J18)</f>
        <v/>
      </c>
    </row>
    <row r="20">
      <c r="A20">
        <f>Datos!A19</f>
        <v/>
      </c>
      <c r="B20">
        <f>VLOOKUP(A20,Datos!$A$2:$K$51,2,FALSE)</f>
        <v/>
      </c>
      <c r="C20">
        <f>HLOOKUP(CHOOSE(MOD(ROW()-3,3)+1,"A","B","C"),$O$1:$Q$2,2,FALSE)</f>
        <v/>
      </c>
      <c r="D20">
        <f>INDEX(Datos!$B$2:$B$51,MATCH(A20,Datos!$A$2:$A$51,0))</f>
        <v/>
      </c>
      <c r="E20">
        <f>MATCH(A20,Datos!$A$2:$A$51,0)</f>
        <v/>
      </c>
      <c r="F20">
        <f>INDEX(Datos!$C$2:$C$51,MATCH(A20,Datos!$A$2:$A$51,0))</f>
        <v/>
      </c>
      <c r="G20">
        <f>CHOOSE(MOD(ROW(),3)+1,"Rojo","Verde","Azul")</f>
        <v/>
      </c>
      <c r="H20">
        <f>LOOKUP(Datos!F19,{1,8,15},{"Bajo","Medio","Alto"})</f>
        <v/>
      </c>
      <c r="I20">
        <f>IFNA(VLOOKUP(-1,Datos!$A$2:$B$51,2,FALSE),"No encontrado")</f>
        <v/>
      </c>
      <c r="J20">
        <f>COUNTIFS(Datos!D$2:D$51,Datos!D19,Datos!J$2:J$51,Datos!J19)</f>
        <v/>
      </c>
      <c r="K20">
        <f>SUMIFS(Calculos!C$2:C$51,Datos!D$2:D$51,Datos!D19,Datos!J$2:J$51,Datos!J19)</f>
        <v/>
      </c>
      <c r="L20">
        <f>AVERAGEIFS(Calculos!E$2:E$51,Datos!D$2:D$51,Datos!D19,Datos!J$2:J$51,Datos!J19)</f>
        <v/>
      </c>
    </row>
    <row r="21">
      <c r="A21">
        <f>Datos!A20</f>
        <v/>
      </c>
      <c r="B21">
        <f>VLOOKUP(A21,Datos!$A$2:$K$51,2,FALSE)</f>
        <v/>
      </c>
      <c r="C21">
        <f>HLOOKUP(CHOOSE(MOD(ROW()-3,3)+1,"A","B","C"),$O$1:$Q$2,2,FALSE)</f>
        <v/>
      </c>
      <c r="D21">
        <f>INDEX(Datos!$B$2:$B$51,MATCH(A21,Datos!$A$2:$A$51,0))</f>
        <v/>
      </c>
      <c r="E21">
        <f>MATCH(A21,Datos!$A$2:$A$51,0)</f>
        <v/>
      </c>
      <c r="F21">
        <f>INDEX(Datos!$C$2:$C$51,MATCH(A21,Datos!$A$2:$A$51,0))</f>
        <v/>
      </c>
      <c r="G21">
        <f>CHOOSE(MOD(ROW(),3)+1,"Rojo","Verde","Azul")</f>
        <v/>
      </c>
      <c r="H21">
        <f>LOOKUP(Datos!F20,{1,8,15},{"Bajo","Medio","Alto"})</f>
        <v/>
      </c>
      <c r="I21">
        <f>IFNA(VLOOKUP(-1,Datos!$A$2:$B$51,2,FALSE),"No encontrado")</f>
        <v/>
      </c>
      <c r="J21">
        <f>COUNTIFS(Datos!D$2:D$51,Datos!D20,Datos!J$2:J$51,Datos!J20)</f>
        <v/>
      </c>
      <c r="K21">
        <f>SUMIFS(Calculos!C$2:C$51,Datos!D$2:D$51,Datos!D20,Datos!J$2:J$51,Datos!J20)</f>
        <v/>
      </c>
      <c r="L21">
        <f>AVERAGEIFS(Calculos!E$2:E$51,Datos!D$2:D$51,Datos!D20,Datos!J$2:J$51,Datos!J20)</f>
        <v/>
      </c>
    </row>
    <row r="22">
      <c r="A22">
        <f>Datos!A21</f>
        <v/>
      </c>
      <c r="B22">
        <f>VLOOKUP(A22,Datos!$A$2:$K$51,2,FALSE)</f>
        <v/>
      </c>
      <c r="C22">
        <f>HLOOKUP(CHOOSE(MOD(ROW()-3,3)+1,"A","B","C"),$O$1:$Q$2,2,FALSE)</f>
        <v/>
      </c>
      <c r="D22">
        <f>INDEX(Datos!$B$2:$B$51,MATCH(A22,Datos!$A$2:$A$51,0))</f>
        <v/>
      </c>
      <c r="E22">
        <f>MATCH(A22,Datos!$A$2:$A$51,0)</f>
        <v/>
      </c>
      <c r="F22">
        <f>INDEX(Datos!$C$2:$C$51,MATCH(A22,Datos!$A$2:$A$51,0))</f>
        <v/>
      </c>
      <c r="G22">
        <f>CHOOSE(MOD(ROW(),3)+1,"Rojo","Verde","Azul")</f>
        <v/>
      </c>
      <c r="H22">
        <f>LOOKUP(Datos!F21,{1,8,15},{"Bajo","Medio","Alto"})</f>
        <v/>
      </c>
      <c r="I22">
        <f>IFNA(VLOOKUP(-1,Datos!$A$2:$B$51,2,FALSE),"No encontrado")</f>
        <v/>
      </c>
      <c r="J22">
        <f>COUNTIFS(Datos!D$2:D$51,Datos!D21,Datos!J$2:J$51,Datos!J21)</f>
        <v/>
      </c>
      <c r="K22">
        <f>SUMIFS(Calculos!C$2:C$51,Datos!D$2:D$51,Datos!D21,Datos!J$2:J$51,Datos!J21)</f>
        <v/>
      </c>
      <c r="L22">
        <f>AVERAGEIFS(Calculos!E$2:E$51,Datos!D$2:D$51,Datos!D21,Datos!J$2:J$51,Datos!J21)</f>
        <v/>
      </c>
    </row>
    <row r="23">
      <c r="A23">
        <f>Datos!A22</f>
        <v/>
      </c>
      <c r="B23">
        <f>VLOOKUP(A23,Datos!$A$2:$K$51,2,FALSE)</f>
        <v/>
      </c>
      <c r="C23">
        <f>HLOOKUP(CHOOSE(MOD(ROW()-3,3)+1,"A","B","C"),$O$1:$Q$2,2,FALSE)</f>
        <v/>
      </c>
      <c r="D23">
        <f>INDEX(Datos!$B$2:$B$51,MATCH(A23,Datos!$A$2:$A$51,0))</f>
        <v/>
      </c>
      <c r="E23">
        <f>MATCH(A23,Datos!$A$2:$A$51,0)</f>
        <v/>
      </c>
      <c r="F23">
        <f>INDEX(Datos!$C$2:$C$51,MATCH(A23,Datos!$A$2:$A$51,0))</f>
        <v/>
      </c>
      <c r="G23">
        <f>CHOOSE(MOD(ROW(),3)+1,"Rojo","Verde","Azul")</f>
        <v/>
      </c>
      <c r="H23">
        <f>LOOKUP(Datos!F22,{1,8,15},{"Bajo","Medio","Alto"})</f>
        <v/>
      </c>
      <c r="I23">
        <f>IFNA(VLOOKUP(-1,Datos!$A$2:$B$51,2,FALSE),"No encontrado")</f>
        <v/>
      </c>
      <c r="J23">
        <f>COUNTIFS(Datos!D$2:D$51,Datos!D22,Datos!J$2:J$51,Datos!J22)</f>
        <v/>
      </c>
      <c r="K23">
        <f>SUMIFS(Calculos!C$2:C$51,Datos!D$2:D$51,Datos!D22,Datos!J$2:J$51,Datos!J22)</f>
        <v/>
      </c>
      <c r="L23">
        <f>AVERAGEIFS(Calculos!E$2:E$51,Datos!D$2:D$51,Datos!D22,Datos!J$2:J$51,Datos!J22)</f>
        <v/>
      </c>
    </row>
    <row r="24">
      <c r="A24">
        <f>Datos!A23</f>
        <v/>
      </c>
      <c r="B24">
        <f>VLOOKUP(A24,Datos!$A$2:$K$51,2,FALSE)</f>
        <v/>
      </c>
      <c r="C24">
        <f>HLOOKUP(CHOOSE(MOD(ROW()-3,3)+1,"A","B","C"),$O$1:$Q$2,2,FALSE)</f>
        <v/>
      </c>
      <c r="D24">
        <f>INDEX(Datos!$B$2:$B$51,MATCH(A24,Datos!$A$2:$A$51,0))</f>
        <v/>
      </c>
      <c r="E24">
        <f>MATCH(A24,Datos!$A$2:$A$51,0)</f>
        <v/>
      </c>
      <c r="F24">
        <f>INDEX(Datos!$C$2:$C$51,MATCH(A24,Datos!$A$2:$A$51,0))</f>
        <v/>
      </c>
      <c r="G24">
        <f>CHOOSE(MOD(ROW(),3)+1,"Rojo","Verde","Azul")</f>
        <v/>
      </c>
      <c r="H24">
        <f>LOOKUP(Datos!F23,{1,8,15},{"Bajo","Medio","Alto"})</f>
        <v/>
      </c>
      <c r="I24">
        <f>IFNA(VLOOKUP(-1,Datos!$A$2:$B$51,2,FALSE),"No encontrado")</f>
        <v/>
      </c>
      <c r="J24">
        <f>COUNTIFS(Datos!D$2:D$51,Datos!D23,Datos!J$2:J$51,Datos!J23)</f>
        <v/>
      </c>
      <c r="K24">
        <f>SUMIFS(Calculos!C$2:C$51,Datos!D$2:D$51,Datos!D23,Datos!J$2:J$51,Datos!J23)</f>
        <v/>
      </c>
      <c r="L24">
        <f>AVERAGEIFS(Calculos!E$2:E$51,Datos!D$2:D$51,Datos!D23,Datos!J$2:J$51,Datos!J23)</f>
        <v/>
      </c>
    </row>
    <row r="25">
      <c r="A25">
        <f>Datos!A24</f>
        <v/>
      </c>
      <c r="B25">
        <f>VLOOKUP(A25,Datos!$A$2:$K$51,2,FALSE)</f>
        <v/>
      </c>
      <c r="C25">
        <f>HLOOKUP(CHOOSE(MOD(ROW()-3,3)+1,"A","B","C"),$O$1:$Q$2,2,FALSE)</f>
        <v/>
      </c>
      <c r="D25">
        <f>INDEX(Datos!$B$2:$B$51,MATCH(A25,Datos!$A$2:$A$51,0))</f>
        <v/>
      </c>
      <c r="E25">
        <f>MATCH(A25,Datos!$A$2:$A$51,0)</f>
        <v/>
      </c>
      <c r="F25">
        <f>INDEX(Datos!$C$2:$C$51,MATCH(A25,Datos!$A$2:$A$51,0))</f>
        <v/>
      </c>
      <c r="G25">
        <f>CHOOSE(MOD(ROW(),3)+1,"Rojo","Verde","Azul")</f>
        <v/>
      </c>
      <c r="H25">
        <f>LOOKUP(Datos!F24,{1,8,15},{"Bajo","Medio","Alto"})</f>
        <v/>
      </c>
      <c r="I25">
        <f>IFNA(VLOOKUP(-1,Datos!$A$2:$B$51,2,FALSE),"No encontrado")</f>
        <v/>
      </c>
      <c r="J25">
        <f>COUNTIFS(Datos!D$2:D$51,Datos!D24,Datos!J$2:J$51,Datos!J24)</f>
        <v/>
      </c>
      <c r="K25">
        <f>SUMIFS(Calculos!C$2:C$51,Datos!D$2:D$51,Datos!D24,Datos!J$2:J$51,Datos!J24)</f>
        <v/>
      </c>
      <c r="L25">
        <f>AVERAGEIFS(Calculos!E$2:E$51,Datos!D$2:D$51,Datos!D24,Datos!J$2:J$51,Datos!J24)</f>
        <v/>
      </c>
    </row>
    <row r="26">
      <c r="A26">
        <f>Datos!A25</f>
        <v/>
      </c>
      <c r="B26">
        <f>VLOOKUP(A26,Datos!$A$2:$K$51,2,FALSE)</f>
        <v/>
      </c>
      <c r="C26">
        <f>HLOOKUP(CHOOSE(MOD(ROW()-3,3)+1,"A","B","C"),$O$1:$Q$2,2,FALSE)</f>
        <v/>
      </c>
      <c r="D26">
        <f>INDEX(Datos!$B$2:$B$51,MATCH(A26,Datos!$A$2:$A$51,0))</f>
        <v/>
      </c>
      <c r="E26">
        <f>MATCH(A26,Datos!$A$2:$A$51,0)</f>
        <v/>
      </c>
      <c r="F26">
        <f>INDEX(Datos!$C$2:$C$51,MATCH(A26,Datos!$A$2:$A$51,0))</f>
        <v/>
      </c>
      <c r="G26">
        <f>CHOOSE(MOD(ROW(),3)+1,"Rojo","Verde","Azul")</f>
        <v/>
      </c>
      <c r="H26">
        <f>LOOKUP(Datos!F25,{1,8,15},{"Bajo","Medio","Alto"})</f>
        <v/>
      </c>
      <c r="I26">
        <f>IFNA(VLOOKUP(-1,Datos!$A$2:$B$51,2,FALSE),"No encontrado")</f>
        <v/>
      </c>
      <c r="J26">
        <f>COUNTIFS(Datos!D$2:D$51,Datos!D25,Datos!J$2:J$51,Datos!J25)</f>
        <v/>
      </c>
      <c r="K26">
        <f>SUMIFS(Calculos!C$2:C$51,Datos!D$2:D$51,Datos!D25,Datos!J$2:J$51,Datos!J25)</f>
        <v/>
      </c>
      <c r="L26">
        <f>AVERAGEIFS(Calculos!E$2:E$51,Datos!D$2:D$51,Datos!D25,Datos!J$2:J$51,Datos!J25)</f>
        <v/>
      </c>
    </row>
    <row r="27">
      <c r="A27">
        <f>Datos!A26</f>
        <v/>
      </c>
      <c r="B27">
        <f>VLOOKUP(A27,Datos!$A$2:$K$51,2,FALSE)</f>
        <v/>
      </c>
      <c r="C27">
        <f>HLOOKUP(CHOOSE(MOD(ROW()-3,3)+1,"A","B","C"),$O$1:$Q$2,2,FALSE)</f>
        <v/>
      </c>
      <c r="D27">
        <f>INDEX(Datos!$B$2:$B$51,MATCH(A27,Datos!$A$2:$A$51,0))</f>
        <v/>
      </c>
      <c r="E27">
        <f>MATCH(A27,Datos!$A$2:$A$51,0)</f>
        <v/>
      </c>
      <c r="F27">
        <f>INDEX(Datos!$C$2:$C$51,MATCH(A27,Datos!$A$2:$A$51,0))</f>
        <v/>
      </c>
      <c r="G27">
        <f>CHOOSE(MOD(ROW(),3)+1,"Rojo","Verde","Azul")</f>
        <v/>
      </c>
      <c r="H27">
        <f>LOOKUP(Datos!F26,{1,8,15},{"Bajo","Medio","Alto"})</f>
        <v/>
      </c>
      <c r="I27">
        <f>IFNA(VLOOKUP(-1,Datos!$A$2:$B$51,2,FALSE),"No encontrado")</f>
        <v/>
      </c>
      <c r="J27">
        <f>COUNTIFS(Datos!D$2:D$51,Datos!D26,Datos!J$2:J$51,Datos!J26)</f>
        <v/>
      </c>
      <c r="K27">
        <f>SUMIFS(Calculos!C$2:C$51,Datos!D$2:D$51,Datos!D26,Datos!J$2:J$51,Datos!J26)</f>
        <v/>
      </c>
      <c r="L27">
        <f>AVERAGEIFS(Calculos!E$2:E$51,Datos!D$2:D$51,Datos!D26,Datos!J$2:J$51,Datos!J26)</f>
        <v/>
      </c>
    </row>
    <row r="28">
      <c r="A28">
        <f>Datos!A27</f>
        <v/>
      </c>
      <c r="B28">
        <f>VLOOKUP(A28,Datos!$A$2:$K$51,2,FALSE)</f>
        <v/>
      </c>
      <c r="C28">
        <f>HLOOKUP(CHOOSE(MOD(ROW()-3,3)+1,"A","B","C"),$O$1:$Q$2,2,FALSE)</f>
        <v/>
      </c>
      <c r="D28">
        <f>INDEX(Datos!$B$2:$B$51,MATCH(A28,Datos!$A$2:$A$51,0))</f>
        <v/>
      </c>
      <c r="E28">
        <f>MATCH(A28,Datos!$A$2:$A$51,0)</f>
        <v/>
      </c>
      <c r="F28">
        <f>INDEX(Datos!$C$2:$C$51,MATCH(A28,Datos!$A$2:$A$51,0))</f>
        <v/>
      </c>
      <c r="G28">
        <f>CHOOSE(MOD(ROW(),3)+1,"Rojo","Verde","Azul")</f>
        <v/>
      </c>
      <c r="H28">
        <f>LOOKUP(Datos!F27,{1,8,15},{"Bajo","Medio","Alto"})</f>
        <v/>
      </c>
      <c r="I28">
        <f>IFNA(VLOOKUP(-1,Datos!$A$2:$B$51,2,FALSE),"No encontrado")</f>
        <v/>
      </c>
      <c r="J28">
        <f>COUNTIFS(Datos!D$2:D$51,Datos!D27,Datos!J$2:J$51,Datos!J27)</f>
        <v/>
      </c>
      <c r="K28">
        <f>SUMIFS(Calculos!C$2:C$51,Datos!D$2:D$51,Datos!D27,Datos!J$2:J$51,Datos!J27)</f>
        <v/>
      </c>
      <c r="L28">
        <f>AVERAGEIFS(Calculos!E$2:E$51,Datos!D$2:D$51,Datos!D27,Datos!J$2:J$51,Datos!J27)</f>
        <v/>
      </c>
    </row>
    <row r="29">
      <c r="A29">
        <f>Datos!A28</f>
        <v/>
      </c>
      <c r="B29">
        <f>VLOOKUP(A29,Datos!$A$2:$K$51,2,FALSE)</f>
        <v/>
      </c>
      <c r="C29">
        <f>HLOOKUP(CHOOSE(MOD(ROW()-3,3)+1,"A","B","C"),$O$1:$Q$2,2,FALSE)</f>
        <v/>
      </c>
      <c r="D29">
        <f>INDEX(Datos!$B$2:$B$51,MATCH(A29,Datos!$A$2:$A$51,0))</f>
        <v/>
      </c>
      <c r="E29">
        <f>MATCH(A29,Datos!$A$2:$A$51,0)</f>
        <v/>
      </c>
      <c r="F29">
        <f>INDEX(Datos!$C$2:$C$51,MATCH(A29,Datos!$A$2:$A$51,0))</f>
        <v/>
      </c>
      <c r="G29">
        <f>CHOOSE(MOD(ROW(),3)+1,"Rojo","Verde","Azul")</f>
        <v/>
      </c>
      <c r="H29">
        <f>LOOKUP(Datos!F28,{1,8,15},{"Bajo","Medio","Alto"})</f>
        <v/>
      </c>
      <c r="I29">
        <f>IFNA(VLOOKUP(-1,Datos!$A$2:$B$51,2,FALSE),"No encontrado")</f>
        <v/>
      </c>
      <c r="J29">
        <f>COUNTIFS(Datos!D$2:D$51,Datos!D28,Datos!J$2:J$51,Datos!J28)</f>
        <v/>
      </c>
      <c r="K29">
        <f>SUMIFS(Calculos!C$2:C$51,Datos!D$2:D$51,Datos!D28,Datos!J$2:J$51,Datos!J28)</f>
        <v/>
      </c>
      <c r="L29">
        <f>AVERAGEIFS(Calculos!E$2:E$51,Datos!D$2:D$51,Datos!D28,Datos!J$2:J$51,Datos!J28)</f>
        <v/>
      </c>
    </row>
    <row r="30">
      <c r="A30">
        <f>Datos!A29</f>
        <v/>
      </c>
      <c r="B30">
        <f>VLOOKUP(A30,Datos!$A$2:$K$51,2,FALSE)</f>
        <v/>
      </c>
      <c r="C30">
        <f>HLOOKUP(CHOOSE(MOD(ROW()-3,3)+1,"A","B","C"),$O$1:$Q$2,2,FALSE)</f>
        <v/>
      </c>
      <c r="D30">
        <f>INDEX(Datos!$B$2:$B$51,MATCH(A30,Datos!$A$2:$A$51,0))</f>
        <v/>
      </c>
      <c r="E30">
        <f>MATCH(A30,Datos!$A$2:$A$51,0)</f>
        <v/>
      </c>
      <c r="F30">
        <f>INDEX(Datos!$C$2:$C$51,MATCH(A30,Datos!$A$2:$A$51,0))</f>
        <v/>
      </c>
      <c r="G30">
        <f>CHOOSE(MOD(ROW(),3)+1,"Rojo","Verde","Azul")</f>
        <v/>
      </c>
      <c r="H30">
        <f>LOOKUP(Datos!F29,{1,8,15},{"Bajo","Medio","Alto"})</f>
        <v/>
      </c>
      <c r="I30">
        <f>IFNA(VLOOKUP(-1,Datos!$A$2:$B$51,2,FALSE),"No encontrado")</f>
        <v/>
      </c>
      <c r="J30">
        <f>COUNTIFS(Datos!D$2:D$51,Datos!D29,Datos!J$2:J$51,Datos!J29)</f>
        <v/>
      </c>
      <c r="K30">
        <f>SUMIFS(Calculos!C$2:C$51,Datos!D$2:D$51,Datos!D29,Datos!J$2:J$51,Datos!J29)</f>
        <v/>
      </c>
      <c r="L30">
        <f>AVERAGEIFS(Calculos!E$2:E$51,Datos!D$2:D$51,Datos!D29,Datos!J$2:J$51,Datos!J29)</f>
        <v/>
      </c>
    </row>
    <row r="31">
      <c r="A31">
        <f>Datos!A30</f>
        <v/>
      </c>
      <c r="B31">
        <f>VLOOKUP(A31,Datos!$A$2:$K$51,2,FALSE)</f>
        <v/>
      </c>
      <c r="C31">
        <f>HLOOKUP(CHOOSE(MOD(ROW()-3,3)+1,"A","B","C"),$O$1:$Q$2,2,FALSE)</f>
        <v/>
      </c>
      <c r="D31">
        <f>INDEX(Datos!$B$2:$B$51,MATCH(A31,Datos!$A$2:$A$51,0))</f>
        <v/>
      </c>
      <c r="E31">
        <f>MATCH(A31,Datos!$A$2:$A$51,0)</f>
        <v/>
      </c>
      <c r="F31">
        <f>INDEX(Datos!$C$2:$C$51,MATCH(A31,Datos!$A$2:$A$51,0))</f>
        <v/>
      </c>
      <c r="G31">
        <f>CHOOSE(MOD(ROW(),3)+1,"Rojo","Verde","Azul")</f>
        <v/>
      </c>
      <c r="H31">
        <f>LOOKUP(Datos!F30,{1,8,15},{"Bajo","Medio","Alto"})</f>
        <v/>
      </c>
      <c r="I31">
        <f>IFNA(VLOOKUP(-1,Datos!$A$2:$B$51,2,FALSE),"No encontrado")</f>
        <v/>
      </c>
      <c r="J31">
        <f>COUNTIFS(Datos!D$2:D$51,Datos!D30,Datos!J$2:J$51,Datos!J30)</f>
        <v/>
      </c>
      <c r="K31">
        <f>SUMIFS(Calculos!C$2:C$51,Datos!D$2:D$51,Datos!D30,Datos!J$2:J$51,Datos!J30)</f>
        <v/>
      </c>
      <c r="L31">
        <f>AVERAGEIFS(Calculos!E$2:E$51,Datos!D$2:D$51,Datos!D30,Datos!J$2:J$51,Datos!J30)</f>
        <v/>
      </c>
    </row>
    <row r="32">
      <c r="A32">
        <f>Datos!A31</f>
        <v/>
      </c>
      <c r="B32">
        <f>VLOOKUP(A32,Datos!$A$2:$K$51,2,FALSE)</f>
        <v/>
      </c>
      <c r="C32">
        <f>HLOOKUP(CHOOSE(MOD(ROW()-3,3)+1,"A","B","C"),$O$1:$Q$2,2,FALSE)</f>
        <v/>
      </c>
      <c r="D32">
        <f>INDEX(Datos!$B$2:$B$51,MATCH(A32,Datos!$A$2:$A$51,0))</f>
        <v/>
      </c>
      <c r="E32">
        <f>MATCH(A32,Datos!$A$2:$A$51,0)</f>
        <v/>
      </c>
      <c r="F32">
        <f>INDEX(Datos!$C$2:$C$51,MATCH(A32,Datos!$A$2:$A$51,0))</f>
        <v/>
      </c>
      <c r="G32">
        <f>CHOOSE(MOD(ROW(),3)+1,"Rojo","Verde","Azul")</f>
        <v/>
      </c>
      <c r="H32">
        <f>LOOKUP(Datos!F31,{1,8,15},{"Bajo","Medio","Alto"})</f>
        <v/>
      </c>
      <c r="I32">
        <f>IFNA(VLOOKUP(-1,Datos!$A$2:$B$51,2,FALSE),"No encontrado")</f>
        <v/>
      </c>
      <c r="J32">
        <f>COUNTIFS(Datos!D$2:D$51,Datos!D31,Datos!J$2:J$51,Datos!J31)</f>
        <v/>
      </c>
      <c r="K32">
        <f>SUMIFS(Calculos!C$2:C$51,Datos!D$2:D$51,Datos!D31,Datos!J$2:J$51,Datos!J31)</f>
        <v/>
      </c>
      <c r="L32">
        <f>AVERAGEIFS(Calculos!E$2:E$51,Datos!D$2:D$51,Datos!D31,Datos!J$2:J$51,Datos!J31)</f>
        <v/>
      </c>
    </row>
    <row r="33">
      <c r="A33">
        <f>Datos!A32</f>
        <v/>
      </c>
      <c r="B33">
        <f>VLOOKUP(A33,Datos!$A$2:$K$51,2,FALSE)</f>
        <v/>
      </c>
      <c r="C33">
        <f>HLOOKUP(CHOOSE(MOD(ROW()-3,3)+1,"A","B","C"),$O$1:$Q$2,2,FALSE)</f>
        <v/>
      </c>
      <c r="D33">
        <f>INDEX(Datos!$B$2:$B$51,MATCH(A33,Datos!$A$2:$A$51,0))</f>
        <v/>
      </c>
      <c r="E33">
        <f>MATCH(A33,Datos!$A$2:$A$51,0)</f>
        <v/>
      </c>
      <c r="F33">
        <f>INDEX(Datos!$C$2:$C$51,MATCH(A33,Datos!$A$2:$A$51,0))</f>
        <v/>
      </c>
      <c r="G33">
        <f>CHOOSE(MOD(ROW(),3)+1,"Rojo","Verde","Azul")</f>
        <v/>
      </c>
      <c r="H33">
        <f>LOOKUP(Datos!F32,{1,8,15},{"Bajo","Medio","Alto"})</f>
        <v/>
      </c>
      <c r="I33">
        <f>IFNA(VLOOKUP(-1,Datos!$A$2:$B$51,2,FALSE),"No encontrado")</f>
        <v/>
      </c>
      <c r="J33">
        <f>COUNTIFS(Datos!D$2:D$51,Datos!D32,Datos!J$2:J$51,Datos!J32)</f>
        <v/>
      </c>
      <c r="K33">
        <f>SUMIFS(Calculos!C$2:C$51,Datos!D$2:D$51,Datos!D32,Datos!J$2:J$51,Datos!J32)</f>
        <v/>
      </c>
      <c r="L33">
        <f>AVERAGEIFS(Calculos!E$2:E$51,Datos!D$2:D$51,Datos!D32,Datos!J$2:J$51,Datos!J32)</f>
        <v/>
      </c>
    </row>
    <row r="34">
      <c r="A34">
        <f>Datos!A33</f>
        <v/>
      </c>
      <c r="B34">
        <f>VLOOKUP(A34,Datos!$A$2:$K$51,2,FALSE)</f>
        <v/>
      </c>
      <c r="C34">
        <f>HLOOKUP(CHOOSE(MOD(ROW()-3,3)+1,"A","B","C"),$O$1:$Q$2,2,FALSE)</f>
        <v/>
      </c>
      <c r="D34">
        <f>INDEX(Datos!$B$2:$B$51,MATCH(A34,Datos!$A$2:$A$51,0))</f>
        <v/>
      </c>
      <c r="E34">
        <f>MATCH(A34,Datos!$A$2:$A$51,0)</f>
        <v/>
      </c>
      <c r="F34">
        <f>INDEX(Datos!$C$2:$C$51,MATCH(A34,Datos!$A$2:$A$51,0))</f>
        <v/>
      </c>
      <c r="G34">
        <f>CHOOSE(MOD(ROW(),3)+1,"Rojo","Verde","Azul")</f>
        <v/>
      </c>
      <c r="H34">
        <f>LOOKUP(Datos!F33,{1,8,15},{"Bajo","Medio","Alto"})</f>
        <v/>
      </c>
      <c r="I34">
        <f>IFNA(VLOOKUP(-1,Datos!$A$2:$B$51,2,FALSE),"No encontrado")</f>
        <v/>
      </c>
      <c r="J34">
        <f>COUNTIFS(Datos!D$2:D$51,Datos!D33,Datos!J$2:J$51,Datos!J33)</f>
        <v/>
      </c>
      <c r="K34">
        <f>SUMIFS(Calculos!C$2:C$51,Datos!D$2:D$51,Datos!D33,Datos!J$2:J$51,Datos!J33)</f>
        <v/>
      </c>
      <c r="L34">
        <f>AVERAGEIFS(Calculos!E$2:E$51,Datos!D$2:D$51,Datos!D33,Datos!J$2:J$51,Datos!J33)</f>
        <v/>
      </c>
    </row>
    <row r="35">
      <c r="A35">
        <f>Datos!A34</f>
        <v/>
      </c>
      <c r="B35">
        <f>VLOOKUP(A35,Datos!$A$2:$K$51,2,FALSE)</f>
        <v/>
      </c>
      <c r="C35">
        <f>HLOOKUP(CHOOSE(MOD(ROW()-3,3)+1,"A","B","C"),$O$1:$Q$2,2,FALSE)</f>
        <v/>
      </c>
      <c r="D35">
        <f>INDEX(Datos!$B$2:$B$51,MATCH(A35,Datos!$A$2:$A$51,0))</f>
        <v/>
      </c>
      <c r="E35">
        <f>MATCH(A35,Datos!$A$2:$A$51,0)</f>
        <v/>
      </c>
      <c r="F35">
        <f>INDEX(Datos!$C$2:$C$51,MATCH(A35,Datos!$A$2:$A$51,0))</f>
        <v/>
      </c>
      <c r="G35">
        <f>CHOOSE(MOD(ROW(),3)+1,"Rojo","Verde","Azul")</f>
        <v/>
      </c>
      <c r="H35">
        <f>LOOKUP(Datos!F34,{1,8,15},{"Bajo","Medio","Alto"})</f>
        <v/>
      </c>
      <c r="I35">
        <f>IFNA(VLOOKUP(-1,Datos!$A$2:$B$51,2,FALSE),"No encontrado")</f>
        <v/>
      </c>
      <c r="J35">
        <f>COUNTIFS(Datos!D$2:D$51,Datos!D34,Datos!J$2:J$51,Datos!J34)</f>
        <v/>
      </c>
      <c r="K35">
        <f>SUMIFS(Calculos!C$2:C$51,Datos!D$2:D$51,Datos!D34,Datos!J$2:J$51,Datos!J34)</f>
        <v/>
      </c>
      <c r="L35">
        <f>AVERAGEIFS(Calculos!E$2:E$51,Datos!D$2:D$51,Datos!D34,Datos!J$2:J$51,Datos!J34)</f>
        <v/>
      </c>
    </row>
    <row r="36">
      <c r="A36">
        <f>Datos!A35</f>
        <v/>
      </c>
      <c r="B36">
        <f>VLOOKUP(A36,Datos!$A$2:$K$51,2,FALSE)</f>
        <v/>
      </c>
      <c r="C36">
        <f>HLOOKUP(CHOOSE(MOD(ROW()-3,3)+1,"A","B","C"),$O$1:$Q$2,2,FALSE)</f>
        <v/>
      </c>
      <c r="D36">
        <f>INDEX(Datos!$B$2:$B$51,MATCH(A36,Datos!$A$2:$A$51,0))</f>
        <v/>
      </c>
      <c r="E36">
        <f>MATCH(A36,Datos!$A$2:$A$51,0)</f>
        <v/>
      </c>
      <c r="F36">
        <f>INDEX(Datos!$C$2:$C$51,MATCH(A36,Datos!$A$2:$A$51,0))</f>
        <v/>
      </c>
      <c r="G36">
        <f>CHOOSE(MOD(ROW(),3)+1,"Rojo","Verde","Azul")</f>
        <v/>
      </c>
      <c r="H36">
        <f>LOOKUP(Datos!F35,{1,8,15},{"Bajo","Medio","Alto"})</f>
        <v/>
      </c>
      <c r="I36">
        <f>IFNA(VLOOKUP(-1,Datos!$A$2:$B$51,2,FALSE),"No encontrado")</f>
        <v/>
      </c>
      <c r="J36">
        <f>COUNTIFS(Datos!D$2:D$51,Datos!D35,Datos!J$2:J$51,Datos!J35)</f>
        <v/>
      </c>
      <c r="K36">
        <f>SUMIFS(Calculos!C$2:C$51,Datos!D$2:D$51,Datos!D35,Datos!J$2:J$51,Datos!J35)</f>
        <v/>
      </c>
      <c r="L36">
        <f>AVERAGEIFS(Calculos!E$2:E$51,Datos!D$2:D$51,Datos!D35,Datos!J$2:J$51,Datos!J35)</f>
        <v/>
      </c>
    </row>
    <row r="37">
      <c r="A37">
        <f>Datos!A36</f>
        <v/>
      </c>
      <c r="B37">
        <f>VLOOKUP(A37,Datos!$A$2:$K$51,2,FALSE)</f>
        <v/>
      </c>
      <c r="C37">
        <f>HLOOKUP(CHOOSE(MOD(ROW()-3,3)+1,"A","B","C"),$O$1:$Q$2,2,FALSE)</f>
        <v/>
      </c>
      <c r="D37">
        <f>INDEX(Datos!$B$2:$B$51,MATCH(A37,Datos!$A$2:$A$51,0))</f>
        <v/>
      </c>
      <c r="E37">
        <f>MATCH(A37,Datos!$A$2:$A$51,0)</f>
        <v/>
      </c>
      <c r="F37">
        <f>INDEX(Datos!$C$2:$C$51,MATCH(A37,Datos!$A$2:$A$51,0))</f>
        <v/>
      </c>
      <c r="G37">
        <f>CHOOSE(MOD(ROW(),3)+1,"Rojo","Verde","Azul")</f>
        <v/>
      </c>
      <c r="H37">
        <f>LOOKUP(Datos!F36,{1,8,15},{"Bajo","Medio","Alto"})</f>
        <v/>
      </c>
      <c r="I37">
        <f>IFNA(VLOOKUP(-1,Datos!$A$2:$B$51,2,FALSE),"No encontrado")</f>
        <v/>
      </c>
      <c r="J37">
        <f>COUNTIFS(Datos!D$2:D$51,Datos!D36,Datos!J$2:J$51,Datos!J36)</f>
        <v/>
      </c>
      <c r="K37">
        <f>SUMIFS(Calculos!C$2:C$51,Datos!D$2:D$51,Datos!D36,Datos!J$2:J$51,Datos!J36)</f>
        <v/>
      </c>
      <c r="L37">
        <f>AVERAGEIFS(Calculos!E$2:E$51,Datos!D$2:D$51,Datos!D36,Datos!J$2:J$51,Datos!J36)</f>
        <v/>
      </c>
    </row>
    <row r="38">
      <c r="A38">
        <f>Datos!A37</f>
        <v/>
      </c>
      <c r="B38">
        <f>VLOOKUP(A38,Datos!$A$2:$K$51,2,FALSE)</f>
        <v/>
      </c>
      <c r="C38">
        <f>HLOOKUP(CHOOSE(MOD(ROW()-3,3)+1,"A","B","C"),$O$1:$Q$2,2,FALSE)</f>
        <v/>
      </c>
      <c r="D38">
        <f>INDEX(Datos!$B$2:$B$51,MATCH(A38,Datos!$A$2:$A$51,0))</f>
        <v/>
      </c>
      <c r="E38">
        <f>MATCH(A38,Datos!$A$2:$A$51,0)</f>
        <v/>
      </c>
      <c r="F38">
        <f>INDEX(Datos!$C$2:$C$51,MATCH(A38,Datos!$A$2:$A$51,0))</f>
        <v/>
      </c>
      <c r="G38">
        <f>CHOOSE(MOD(ROW(),3)+1,"Rojo","Verde","Azul")</f>
        <v/>
      </c>
      <c r="H38">
        <f>LOOKUP(Datos!F37,{1,8,15},{"Bajo","Medio","Alto"})</f>
        <v/>
      </c>
      <c r="I38">
        <f>IFNA(VLOOKUP(-1,Datos!$A$2:$B$51,2,FALSE),"No encontrado")</f>
        <v/>
      </c>
      <c r="J38">
        <f>COUNTIFS(Datos!D$2:D$51,Datos!D37,Datos!J$2:J$51,Datos!J37)</f>
        <v/>
      </c>
      <c r="K38">
        <f>SUMIFS(Calculos!C$2:C$51,Datos!D$2:D$51,Datos!D37,Datos!J$2:J$51,Datos!J37)</f>
        <v/>
      </c>
      <c r="L38">
        <f>AVERAGEIFS(Calculos!E$2:E$51,Datos!D$2:D$51,Datos!D37,Datos!J$2:J$51,Datos!J37)</f>
        <v/>
      </c>
    </row>
    <row r="39">
      <c r="A39">
        <f>Datos!A38</f>
        <v/>
      </c>
      <c r="B39">
        <f>VLOOKUP(A39,Datos!$A$2:$K$51,2,FALSE)</f>
        <v/>
      </c>
      <c r="C39">
        <f>HLOOKUP(CHOOSE(MOD(ROW()-3,3)+1,"A","B","C"),$O$1:$Q$2,2,FALSE)</f>
        <v/>
      </c>
      <c r="D39">
        <f>INDEX(Datos!$B$2:$B$51,MATCH(A39,Datos!$A$2:$A$51,0))</f>
        <v/>
      </c>
      <c r="E39">
        <f>MATCH(A39,Datos!$A$2:$A$51,0)</f>
        <v/>
      </c>
      <c r="F39">
        <f>INDEX(Datos!$C$2:$C$51,MATCH(A39,Datos!$A$2:$A$51,0))</f>
        <v/>
      </c>
      <c r="G39">
        <f>CHOOSE(MOD(ROW(),3)+1,"Rojo","Verde","Azul")</f>
        <v/>
      </c>
      <c r="H39">
        <f>LOOKUP(Datos!F38,{1,8,15},{"Bajo","Medio","Alto"})</f>
        <v/>
      </c>
      <c r="I39">
        <f>IFNA(VLOOKUP(-1,Datos!$A$2:$B$51,2,FALSE),"No encontrado")</f>
        <v/>
      </c>
      <c r="J39">
        <f>COUNTIFS(Datos!D$2:D$51,Datos!D38,Datos!J$2:J$51,Datos!J38)</f>
        <v/>
      </c>
      <c r="K39">
        <f>SUMIFS(Calculos!C$2:C$51,Datos!D$2:D$51,Datos!D38,Datos!J$2:J$51,Datos!J38)</f>
        <v/>
      </c>
      <c r="L39">
        <f>AVERAGEIFS(Calculos!E$2:E$51,Datos!D$2:D$51,Datos!D38,Datos!J$2:J$51,Datos!J38)</f>
        <v/>
      </c>
    </row>
    <row r="40">
      <c r="A40">
        <f>Datos!A39</f>
        <v/>
      </c>
      <c r="B40">
        <f>VLOOKUP(A40,Datos!$A$2:$K$51,2,FALSE)</f>
        <v/>
      </c>
      <c r="C40">
        <f>HLOOKUP(CHOOSE(MOD(ROW()-3,3)+1,"A","B","C"),$O$1:$Q$2,2,FALSE)</f>
        <v/>
      </c>
      <c r="D40">
        <f>INDEX(Datos!$B$2:$B$51,MATCH(A40,Datos!$A$2:$A$51,0))</f>
        <v/>
      </c>
      <c r="E40">
        <f>MATCH(A40,Datos!$A$2:$A$51,0)</f>
        <v/>
      </c>
      <c r="F40">
        <f>INDEX(Datos!$C$2:$C$51,MATCH(A40,Datos!$A$2:$A$51,0))</f>
        <v/>
      </c>
      <c r="G40">
        <f>CHOOSE(MOD(ROW(),3)+1,"Rojo","Verde","Azul")</f>
        <v/>
      </c>
      <c r="H40">
        <f>LOOKUP(Datos!F39,{1,8,15},{"Bajo","Medio","Alto"})</f>
        <v/>
      </c>
      <c r="I40">
        <f>IFNA(VLOOKUP(-1,Datos!$A$2:$B$51,2,FALSE),"No encontrado")</f>
        <v/>
      </c>
      <c r="J40">
        <f>COUNTIFS(Datos!D$2:D$51,Datos!D39,Datos!J$2:J$51,Datos!J39)</f>
        <v/>
      </c>
      <c r="K40">
        <f>SUMIFS(Calculos!C$2:C$51,Datos!D$2:D$51,Datos!D39,Datos!J$2:J$51,Datos!J39)</f>
        <v/>
      </c>
      <c r="L40">
        <f>AVERAGEIFS(Calculos!E$2:E$51,Datos!D$2:D$51,Datos!D39,Datos!J$2:J$51,Datos!J39)</f>
        <v/>
      </c>
    </row>
    <row r="41">
      <c r="A41">
        <f>Datos!A40</f>
        <v/>
      </c>
      <c r="B41">
        <f>VLOOKUP(A41,Datos!$A$2:$K$51,2,FALSE)</f>
        <v/>
      </c>
      <c r="C41">
        <f>HLOOKUP(CHOOSE(MOD(ROW()-3,3)+1,"A","B","C"),$O$1:$Q$2,2,FALSE)</f>
        <v/>
      </c>
      <c r="D41">
        <f>INDEX(Datos!$B$2:$B$51,MATCH(A41,Datos!$A$2:$A$51,0))</f>
        <v/>
      </c>
      <c r="E41">
        <f>MATCH(A41,Datos!$A$2:$A$51,0)</f>
        <v/>
      </c>
      <c r="F41">
        <f>INDEX(Datos!$C$2:$C$51,MATCH(A41,Datos!$A$2:$A$51,0))</f>
        <v/>
      </c>
      <c r="G41">
        <f>CHOOSE(MOD(ROW(),3)+1,"Rojo","Verde","Azul")</f>
        <v/>
      </c>
      <c r="H41">
        <f>LOOKUP(Datos!F40,{1,8,15},{"Bajo","Medio","Alto"})</f>
        <v/>
      </c>
      <c r="I41">
        <f>IFNA(VLOOKUP(-1,Datos!$A$2:$B$51,2,FALSE),"No encontrado")</f>
        <v/>
      </c>
      <c r="J41">
        <f>COUNTIFS(Datos!D$2:D$51,Datos!D40,Datos!J$2:J$51,Datos!J40)</f>
        <v/>
      </c>
      <c r="K41">
        <f>SUMIFS(Calculos!C$2:C$51,Datos!D$2:D$51,Datos!D40,Datos!J$2:J$51,Datos!J40)</f>
        <v/>
      </c>
      <c r="L41">
        <f>AVERAGEIFS(Calculos!E$2:E$51,Datos!D$2:D$51,Datos!D40,Datos!J$2:J$51,Datos!J40)</f>
        <v/>
      </c>
    </row>
    <row r="42">
      <c r="A42">
        <f>Datos!A41</f>
        <v/>
      </c>
      <c r="B42">
        <f>VLOOKUP(A42,Datos!$A$2:$K$51,2,FALSE)</f>
        <v/>
      </c>
      <c r="C42">
        <f>HLOOKUP(CHOOSE(MOD(ROW()-3,3)+1,"A","B","C"),$O$1:$Q$2,2,FALSE)</f>
        <v/>
      </c>
      <c r="D42">
        <f>INDEX(Datos!$B$2:$B$51,MATCH(A42,Datos!$A$2:$A$51,0))</f>
        <v/>
      </c>
      <c r="E42">
        <f>MATCH(A42,Datos!$A$2:$A$51,0)</f>
        <v/>
      </c>
      <c r="F42">
        <f>INDEX(Datos!$C$2:$C$51,MATCH(A42,Datos!$A$2:$A$51,0))</f>
        <v/>
      </c>
      <c r="G42">
        <f>CHOOSE(MOD(ROW(),3)+1,"Rojo","Verde","Azul")</f>
        <v/>
      </c>
      <c r="H42">
        <f>LOOKUP(Datos!F41,{1,8,15},{"Bajo","Medio","Alto"})</f>
        <v/>
      </c>
      <c r="I42">
        <f>IFNA(VLOOKUP(-1,Datos!$A$2:$B$51,2,FALSE),"No encontrado")</f>
        <v/>
      </c>
      <c r="J42">
        <f>COUNTIFS(Datos!D$2:D$51,Datos!D41,Datos!J$2:J$51,Datos!J41)</f>
        <v/>
      </c>
      <c r="K42">
        <f>SUMIFS(Calculos!C$2:C$51,Datos!D$2:D$51,Datos!D41,Datos!J$2:J$51,Datos!J41)</f>
        <v/>
      </c>
      <c r="L42">
        <f>AVERAGEIFS(Calculos!E$2:E$51,Datos!D$2:D$51,Datos!D41,Datos!J$2:J$51,Datos!J41)</f>
        <v/>
      </c>
    </row>
    <row r="43">
      <c r="A43">
        <f>Datos!A42</f>
        <v/>
      </c>
      <c r="B43">
        <f>VLOOKUP(A43,Datos!$A$2:$K$51,2,FALSE)</f>
        <v/>
      </c>
      <c r="C43">
        <f>HLOOKUP(CHOOSE(MOD(ROW()-3,3)+1,"A","B","C"),$O$1:$Q$2,2,FALSE)</f>
        <v/>
      </c>
      <c r="D43">
        <f>INDEX(Datos!$B$2:$B$51,MATCH(A43,Datos!$A$2:$A$51,0))</f>
        <v/>
      </c>
      <c r="E43">
        <f>MATCH(A43,Datos!$A$2:$A$51,0)</f>
        <v/>
      </c>
      <c r="F43">
        <f>INDEX(Datos!$C$2:$C$51,MATCH(A43,Datos!$A$2:$A$51,0))</f>
        <v/>
      </c>
      <c r="G43">
        <f>CHOOSE(MOD(ROW(),3)+1,"Rojo","Verde","Azul")</f>
        <v/>
      </c>
      <c r="H43">
        <f>LOOKUP(Datos!F42,{1,8,15},{"Bajo","Medio","Alto"})</f>
        <v/>
      </c>
      <c r="I43">
        <f>IFNA(VLOOKUP(-1,Datos!$A$2:$B$51,2,FALSE),"No encontrado")</f>
        <v/>
      </c>
      <c r="J43">
        <f>COUNTIFS(Datos!D$2:D$51,Datos!D42,Datos!J$2:J$51,Datos!J42)</f>
        <v/>
      </c>
      <c r="K43">
        <f>SUMIFS(Calculos!C$2:C$51,Datos!D$2:D$51,Datos!D42,Datos!J$2:J$51,Datos!J42)</f>
        <v/>
      </c>
      <c r="L43">
        <f>AVERAGEIFS(Calculos!E$2:E$51,Datos!D$2:D$51,Datos!D42,Datos!J$2:J$51,Datos!J42)</f>
        <v/>
      </c>
    </row>
    <row r="44">
      <c r="A44">
        <f>Datos!A43</f>
        <v/>
      </c>
      <c r="B44">
        <f>VLOOKUP(A44,Datos!$A$2:$K$51,2,FALSE)</f>
        <v/>
      </c>
      <c r="C44">
        <f>HLOOKUP(CHOOSE(MOD(ROW()-3,3)+1,"A","B","C"),$O$1:$Q$2,2,FALSE)</f>
        <v/>
      </c>
      <c r="D44">
        <f>INDEX(Datos!$B$2:$B$51,MATCH(A44,Datos!$A$2:$A$51,0))</f>
        <v/>
      </c>
      <c r="E44">
        <f>MATCH(A44,Datos!$A$2:$A$51,0)</f>
        <v/>
      </c>
      <c r="F44">
        <f>INDEX(Datos!$C$2:$C$51,MATCH(A44,Datos!$A$2:$A$51,0))</f>
        <v/>
      </c>
      <c r="G44">
        <f>CHOOSE(MOD(ROW(),3)+1,"Rojo","Verde","Azul")</f>
        <v/>
      </c>
      <c r="H44">
        <f>LOOKUP(Datos!F43,{1,8,15},{"Bajo","Medio","Alto"})</f>
        <v/>
      </c>
      <c r="I44">
        <f>IFNA(VLOOKUP(-1,Datos!$A$2:$B$51,2,FALSE),"No encontrado")</f>
        <v/>
      </c>
      <c r="J44">
        <f>COUNTIFS(Datos!D$2:D$51,Datos!D43,Datos!J$2:J$51,Datos!J43)</f>
        <v/>
      </c>
      <c r="K44">
        <f>SUMIFS(Calculos!C$2:C$51,Datos!D$2:D$51,Datos!D43,Datos!J$2:J$51,Datos!J43)</f>
        <v/>
      </c>
      <c r="L44">
        <f>AVERAGEIFS(Calculos!E$2:E$51,Datos!D$2:D$51,Datos!D43,Datos!J$2:J$51,Datos!J43)</f>
        <v/>
      </c>
    </row>
    <row r="45">
      <c r="A45">
        <f>Datos!A44</f>
        <v/>
      </c>
      <c r="B45">
        <f>VLOOKUP(A45,Datos!$A$2:$K$51,2,FALSE)</f>
        <v/>
      </c>
      <c r="C45">
        <f>HLOOKUP(CHOOSE(MOD(ROW()-3,3)+1,"A","B","C"),$O$1:$Q$2,2,FALSE)</f>
        <v/>
      </c>
      <c r="D45">
        <f>INDEX(Datos!$B$2:$B$51,MATCH(A45,Datos!$A$2:$A$51,0))</f>
        <v/>
      </c>
      <c r="E45">
        <f>MATCH(A45,Datos!$A$2:$A$51,0)</f>
        <v/>
      </c>
      <c r="F45">
        <f>INDEX(Datos!$C$2:$C$51,MATCH(A45,Datos!$A$2:$A$51,0))</f>
        <v/>
      </c>
      <c r="G45">
        <f>CHOOSE(MOD(ROW(),3)+1,"Rojo","Verde","Azul")</f>
        <v/>
      </c>
      <c r="H45">
        <f>LOOKUP(Datos!F44,{1,8,15},{"Bajo","Medio","Alto"})</f>
        <v/>
      </c>
      <c r="I45">
        <f>IFNA(VLOOKUP(-1,Datos!$A$2:$B$51,2,FALSE),"No encontrado")</f>
        <v/>
      </c>
      <c r="J45">
        <f>COUNTIFS(Datos!D$2:D$51,Datos!D44,Datos!J$2:J$51,Datos!J44)</f>
        <v/>
      </c>
      <c r="K45">
        <f>SUMIFS(Calculos!C$2:C$51,Datos!D$2:D$51,Datos!D44,Datos!J$2:J$51,Datos!J44)</f>
        <v/>
      </c>
      <c r="L45">
        <f>AVERAGEIFS(Calculos!E$2:E$51,Datos!D$2:D$51,Datos!D44,Datos!J$2:J$51,Datos!J44)</f>
        <v/>
      </c>
    </row>
    <row r="46">
      <c r="A46">
        <f>Datos!A45</f>
        <v/>
      </c>
      <c r="B46">
        <f>VLOOKUP(A46,Datos!$A$2:$K$51,2,FALSE)</f>
        <v/>
      </c>
      <c r="C46">
        <f>HLOOKUP(CHOOSE(MOD(ROW()-3,3)+1,"A","B","C"),$O$1:$Q$2,2,FALSE)</f>
        <v/>
      </c>
      <c r="D46">
        <f>INDEX(Datos!$B$2:$B$51,MATCH(A46,Datos!$A$2:$A$51,0))</f>
        <v/>
      </c>
      <c r="E46">
        <f>MATCH(A46,Datos!$A$2:$A$51,0)</f>
        <v/>
      </c>
      <c r="F46">
        <f>INDEX(Datos!$C$2:$C$51,MATCH(A46,Datos!$A$2:$A$51,0))</f>
        <v/>
      </c>
      <c r="G46">
        <f>CHOOSE(MOD(ROW(),3)+1,"Rojo","Verde","Azul")</f>
        <v/>
      </c>
      <c r="H46">
        <f>LOOKUP(Datos!F45,{1,8,15},{"Bajo","Medio","Alto"})</f>
        <v/>
      </c>
      <c r="I46">
        <f>IFNA(VLOOKUP(-1,Datos!$A$2:$B$51,2,FALSE),"No encontrado")</f>
        <v/>
      </c>
      <c r="J46">
        <f>COUNTIFS(Datos!D$2:D$51,Datos!D45,Datos!J$2:J$51,Datos!J45)</f>
        <v/>
      </c>
      <c r="K46">
        <f>SUMIFS(Calculos!C$2:C$51,Datos!D$2:D$51,Datos!D45,Datos!J$2:J$51,Datos!J45)</f>
        <v/>
      </c>
      <c r="L46">
        <f>AVERAGEIFS(Calculos!E$2:E$51,Datos!D$2:D$51,Datos!D45,Datos!J$2:J$51,Datos!J45)</f>
        <v/>
      </c>
    </row>
    <row r="47">
      <c r="A47">
        <f>Datos!A46</f>
        <v/>
      </c>
      <c r="B47">
        <f>VLOOKUP(A47,Datos!$A$2:$K$51,2,FALSE)</f>
        <v/>
      </c>
      <c r="C47">
        <f>HLOOKUP(CHOOSE(MOD(ROW()-3,3)+1,"A","B","C"),$O$1:$Q$2,2,FALSE)</f>
        <v/>
      </c>
      <c r="D47">
        <f>INDEX(Datos!$B$2:$B$51,MATCH(A47,Datos!$A$2:$A$51,0))</f>
        <v/>
      </c>
      <c r="E47">
        <f>MATCH(A47,Datos!$A$2:$A$51,0)</f>
        <v/>
      </c>
      <c r="F47">
        <f>INDEX(Datos!$C$2:$C$51,MATCH(A47,Datos!$A$2:$A$51,0))</f>
        <v/>
      </c>
      <c r="G47">
        <f>CHOOSE(MOD(ROW(),3)+1,"Rojo","Verde","Azul")</f>
        <v/>
      </c>
      <c r="H47">
        <f>LOOKUP(Datos!F46,{1,8,15},{"Bajo","Medio","Alto"})</f>
        <v/>
      </c>
      <c r="I47">
        <f>IFNA(VLOOKUP(-1,Datos!$A$2:$B$51,2,FALSE),"No encontrado")</f>
        <v/>
      </c>
      <c r="J47">
        <f>COUNTIFS(Datos!D$2:D$51,Datos!D46,Datos!J$2:J$51,Datos!J46)</f>
        <v/>
      </c>
      <c r="K47">
        <f>SUMIFS(Calculos!C$2:C$51,Datos!D$2:D$51,Datos!D46,Datos!J$2:J$51,Datos!J46)</f>
        <v/>
      </c>
      <c r="L47">
        <f>AVERAGEIFS(Calculos!E$2:E$51,Datos!D$2:D$51,Datos!D46,Datos!J$2:J$51,Datos!J46)</f>
        <v/>
      </c>
    </row>
    <row r="48">
      <c r="A48">
        <f>Datos!A47</f>
        <v/>
      </c>
      <c r="B48">
        <f>VLOOKUP(A48,Datos!$A$2:$K$51,2,FALSE)</f>
        <v/>
      </c>
      <c r="C48">
        <f>HLOOKUP(CHOOSE(MOD(ROW()-3,3)+1,"A","B","C"),$O$1:$Q$2,2,FALSE)</f>
        <v/>
      </c>
      <c r="D48">
        <f>INDEX(Datos!$B$2:$B$51,MATCH(A48,Datos!$A$2:$A$51,0))</f>
        <v/>
      </c>
      <c r="E48">
        <f>MATCH(A48,Datos!$A$2:$A$51,0)</f>
        <v/>
      </c>
      <c r="F48">
        <f>INDEX(Datos!$C$2:$C$51,MATCH(A48,Datos!$A$2:$A$51,0))</f>
        <v/>
      </c>
      <c r="G48">
        <f>CHOOSE(MOD(ROW(),3)+1,"Rojo","Verde","Azul")</f>
        <v/>
      </c>
      <c r="H48">
        <f>LOOKUP(Datos!F47,{1,8,15},{"Bajo","Medio","Alto"})</f>
        <v/>
      </c>
      <c r="I48">
        <f>IFNA(VLOOKUP(-1,Datos!$A$2:$B$51,2,FALSE),"No encontrado")</f>
        <v/>
      </c>
      <c r="J48">
        <f>COUNTIFS(Datos!D$2:D$51,Datos!D47,Datos!J$2:J$51,Datos!J47)</f>
        <v/>
      </c>
      <c r="K48">
        <f>SUMIFS(Calculos!C$2:C$51,Datos!D$2:D$51,Datos!D47,Datos!J$2:J$51,Datos!J47)</f>
        <v/>
      </c>
      <c r="L48">
        <f>AVERAGEIFS(Calculos!E$2:E$51,Datos!D$2:D$51,Datos!D47,Datos!J$2:J$51,Datos!J47)</f>
        <v/>
      </c>
    </row>
    <row r="49">
      <c r="A49">
        <f>Datos!A48</f>
        <v/>
      </c>
      <c r="B49">
        <f>VLOOKUP(A49,Datos!$A$2:$K$51,2,FALSE)</f>
        <v/>
      </c>
      <c r="C49">
        <f>HLOOKUP(CHOOSE(MOD(ROW()-3,3)+1,"A","B","C"),$O$1:$Q$2,2,FALSE)</f>
        <v/>
      </c>
      <c r="D49">
        <f>INDEX(Datos!$B$2:$B$51,MATCH(A49,Datos!$A$2:$A$51,0))</f>
        <v/>
      </c>
      <c r="E49">
        <f>MATCH(A49,Datos!$A$2:$A$51,0)</f>
        <v/>
      </c>
      <c r="F49">
        <f>INDEX(Datos!$C$2:$C$51,MATCH(A49,Datos!$A$2:$A$51,0))</f>
        <v/>
      </c>
      <c r="G49">
        <f>CHOOSE(MOD(ROW(),3)+1,"Rojo","Verde","Azul")</f>
        <v/>
      </c>
      <c r="H49">
        <f>LOOKUP(Datos!F48,{1,8,15},{"Bajo","Medio","Alto"})</f>
        <v/>
      </c>
      <c r="I49">
        <f>IFNA(VLOOKUP(-1,Datos!$A$2:$B$51,2,FALSE),"No encontrado")</f>
        <v/>
      </c>
      <c r="J49">
        <f>COUNTIFS(Datos!D$2:D$51,Datos!D48,Datos!J$2:J$51,Datos!J48)</f>
        <v/>
      </c>
      <c r="K49">
        <f>SUMIFS(Calculos!C$2:C$51,Datos!D$2:D$51,Datos!D48,Datos!J$2:J$51,Datos!J48)</f>
        <v/>
      </c>
      <c r="L49">
        <f>AVERAGEIFS(Calculos!E$2:E$51,Datos!D$2:D$51,Datos!D48,Datos!J$2:J$51,Datos!J48)</f>
        <v/>
      </c>
    </row>
    <row r="50">
      <c r="A50">
        <f>Datos!A49</f>
        <v/>
      </c>
      <c r="B50">
        <f>VLOOKUP(A50,Datos!$A$2:$K$51,2,FALSE)</f>
        <v/>
      </c>
      <c r="C50">
        <f>HLOOKUP(CHOOSE(MOD(ROW()-3,3)+1,"A","B","C"),$O$1:$Q$2,2,FALSE)</f>
        <v/>
      </c>
      <c r="D50">
        <f>INDEX(Datos!$B$2:$B$51,MATCH(A50,Datos!$A$2:$A$51,0))</f>
        <v/>
      </c>
      <c r="E50">
        <f>MATCH(A50,Datos!$A$2:$A$51,0)</f>
        <v/>
      </c>
      <c r="F50">
        <f>INDEX(Datos!$C$2:$C$51,MATCH(A50,Datos!$A$2:$A$51,0))</f>
        <v/>
      </c>
      <c r="G50">
        <f>CHOOSE(MOD(ROW(),3)+1,"Rojo","Verde","Azul")</f>
        <v/>
      </c>
      <c r="H50">
        <f>LOOKUP(Datos!F49,{1,8,15},{"Bajo","Medio","Alto"})</f>
        <v/>
      </c>
      <c r="I50">
        <f>IFNA(VLOOKUP(-1,Datos!$A$2:$B$51,2,FALSE),"No encontrado")</f>
        <v/>
      </c>
      <c r="J50">
        <f>COUNTIFS(Datos!D$2:D$51,Datos!D49,Datos!J$2:J$51,Datos!J49)</f>
        <v/>
      </c>
      <c r="K50">
        <f>SUMIFS(Calculos!C$2:C$51,Datos!D$2:D$51,Datos!D49,Datos!J$2:J$51,Datos!J49)</f>
        <v/>
      </c>
      <c r="L50">
        <f>AVERAGEIFS(Calculos!E$2:E$51,Datos!D$2:D$51,Datos!D49,Datos!J$2:J$51,Datos!J49)</f>
        <v/>
      </c>
    </row>
    <row r="51">
      <c r="A51">
        <f>Datos!A50</f>
        <v/>
      </c>
      <c r="B51">
        <f>VLOOKUP(A51,Datos!$A$2:$K$51,2,FALSE)</f>
        <v/>
      </c>
      <c r="C51">
        <f>HLOOKUP(CHOOSE(MOD(ROW()-3,3)+1,"A","B","C"),$O$1:$Q$2,2,FALSE)</f>
        <v/>
      </c>
      <c r="D51">
        <f>INDEX(Datos!$B$2:$B$51,MATCH(A51,Datos!$A$2:$A$51,0))</f>
        <v/>
      </c>
      <c r="E51">
        <f>MATCH(A51,Datos!$A$2:$A$51,0)</f>
        <v/>
      </c>
      <c r="F51">
        <f>INDEX(Datos!$C$2:$C$51,MATCH(A51,Datos!$A$2:$A$51,0))</f>
        <v/>
      </c>
      <c r="G51">
        <f>CHOOSE(MOD(ROW(),3)+1,"Rojo","Verde","Azul")</f>
        <v/>
      </c>
      <c r="H51">
        <f>LOOKUP(Datos!F50,{1,8,15},{"Bajo","Medio","Alto"})</f>
        <v/>
      </c>
      <c r="I51">
        <f>IFNA(VLOOKUP(-1,Datos!$A$2:$B$51,2,FALSE),"No encontrado")</f>
        <v/>
      </c>
      <c r="J51">
        <f>COUNTIFS(Datos!D$2:D$51,Datos!D50,Datos!J$2:J$51,Datos!J50)</f>
        <v/>
      </c>
      <c r="K51">
        <f>SUMIFS(Calculos!C$2:C$51,Datos!D$2:D$51,Datos!D50,Datos!J$2:J$51,Datos!J50)</f>
        <v/>
      </c>
      <c r="L51">
        <f>AVERAGEIFS(Calculos!E$2:E$51,Datos!D$2:D$51,Datos!D50,Datos!J$2:J$51,Datos!J50)</f>
        <v/>
      </c>
    </row>
    <row r="52">
      <c r="A52">
        <f>Datos!A51</f>
        <v/>
      </c>
      <c r="B52">
        <f>VLOOKUP(A52,Datos!$A$2:$K$51,2,FALSE)</f>
        <v/>
      </c>
      <c r="C52">
        <f>HLOOKUP(CHOOSE(MOD(ROW()-3,3)+1,"A","B","C"),$O$1:$Q$2,2,FALSE)</f>
        <v/>
      </c>
      <c r="D52">
        <f>INDEX(Datos!$B$2:$B$51,MATCH(A52,Datos!$A$2:$A$51,0))</f>
        <v/>
      </c>
      <c r="E52">
        <f>MATCH(A52,Datos!$A$2:$A$51,0)</f>
        <v/>
      </c>
      <c r="F52">
        <f>INDEX(Datos!$C$2:$C$51,MATCH(A52,Datos!$A$2:$A$51,0))</f>
        <v/>
      </c>
      <c r="G52">
        <f>CHOOSE(MOD(ROW(),3)+1,"Rojo","Verde","Azul")</f>
        <v/>
      </c>
      <c r="H52">
        <f>LOOKUP(Datos!F51,{1,8,15},{"Bajo","Medio","Alto"})</f>
        <v/>
      </c>
      <c r="I52">
        <f>IFNA(VLOOKUP(-1,Datos!$A$2:$B$51,2,FALSE),"No encontrado")</f>
        <v/>
      </c>
      <c r="J52">
        <f>COUNTIFS(Datos!D$2:D$51,Datos!D51,Datos!J$2:J$51,Datos!J51)</f>
        <v/>
      </c>
      <c r="K52">
        <f>SUMIFS(Calculos!C$2:C$51,Datos!D$2:D$51,Datos!D51,Datos!J$2:J$51,Datos!J51)</f>
        <v/>
      </c>
      <c r="L52">
        <f>AVERAGEIFS(Calculos!E$2:E$51,Datos!D$2:D$51,Datos!D51,Datos!J$2:J$51,Datos!J51)</f>
        <v/>
      </c>
    </row>
  </sheetData>
  <autoFilter ref="A1:Q52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F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7" customWidth="1" min="3" max="3"/>
    <col width="16" customWidth="1" min="4" max="4"/>
    <col width="34" customWidth="1" min="5" max="5"/>
    <col width="31" customWidth="1" min="6" max="6"/>
  </cols>
  <sheetData>
    <row r="1">
      <c r="A1" s="1" t="inlineStr">
        <is>
          <t>Entrada número (1-100)</t>
        </is>
      </c>
      <c r="B1" s="1" t="inlineStr">
        <is>
          <t>Lista departamento</t>
        </is>
      </c>
      <c r="C1" s="1" t="inlineStr">
        <is>
          <t>Fecha permitida</t>
        </is>
      </c>
      <c r="D1" s="1" t="inlineStr">
        <is>
          <t>Texto (máx 30)</t>
        </is>
      </c>
      <c r="E1" s="1" t="inlineStr">
        <is>
          <t>Resultado validación</t>
        </is>
      </c>
      <c r="F1" s="1" t="inlineStr">
        <is>
          <t>Clave compuesta</t>
        </is>
      </c>
    </row>
    <row r="2">
      <c r="A2" t="n">
        <v>2</v>
      </c>
      <c r="B2" t="inlineStr">
        <is>
          <t>Ventas</t>
        </is>
      </c>
      <c r="C2" s="4" t="n">
        <v>46023</v>
      </c>
      <c r="D2" t="inlineStr">
        <is>
          <t>Prueba 2</t>
        </is>
      </c>
      <c r="E2">
        <f>IF(AND(A2&gt;=1,A2&lt;=100),"Número OK","Número fuera")</f>
        <v/>
      </c>
      <c r="F2">
        <f>B2&amp;"-"&amp;TEXT(C2,"yyyymmdd")</f>
        <v/>
      </c>
    </row>
    <row r="3">
      <c r="A3" t="n">
        <v>3</v>
      </c>
      <c r="B3" t="inlineStr">
        <is>
          <t>Soporte</t>
        </is>
      </c>
      <c r="C3" s="4" t="n">
        <v>46024</v>
      </c>
      <c r="D3" t="inlineStr">
        <is>
          <t>Prueba 3</t>
        </is>
      </c>
      <c r="E3">
        <f>IF(AND(A3&gt;=1,A3&lt;=100),"Número OK","Número fuera")</f>
        <v/>
      </c>
      <c r="F3">
        <f>B3&amp;"-"&amp;TEXT(C3,"yyyymmdd")</f>
        <v/>
      </c>
    </row>
    <row r="4">
      <c r="A4" t="n">
        <v>4</v>
      </c>
      <c r="B4" t="inlineStr">
        <is>
          <t>Finanzas</t>
        </is>
      </c>
      <c r="C4" s="4" t="n">
        <v>46025</v>
      </c>
      <c r="D4" t="inlineStr">
        <is>
          <t>Prueba 4</t>
        </is>
      </c>
      <c r="E4">
        <f>IF(AND(A4&gt;=1,A4&lt;=100),"Número OK","Número fuera")</f>
        <v/>
      </c>
      <c r="F4">
        <f>B4&amp;"-"&amp;TEXT(C4,"yyyymmdd")</f>
        <v/>
      </c>
    </row>
    <row r="5">
      <c r="A5" t="n">
        <v>5</v>
      </c>
      <c r="B5" t="inlineStr">
        <is>
          <t>Operaciones</t>
        </is>
      </c>
      <c r="C5" s="4" t="n">
        <v>46026</v>
      </c>
      <c r="D5" t="inlineStr">
        <is>
          <t>Prueba 5</t>
        </is>
      </c>
      <c r="E5">
        <f>IF(AND(A5&gt;=1,A5&lt;=100),"Número OK","Número fuera")</f>
        <v/>
      </c>
      <c r="F5">
        <f>B5&amp;"-"&amp;TEXT(C5,"yyyymmdd")</f>
        <v/>
      </c>
    </row>
    <row r="6">
      <c r="A6" t="n">
        <v>6</v>
      </c>
      <c r="B6" t="inlineStr">
        <is>
          <t>Ventas</t>
        </is>
      </c>
      <c r="C6" s="4" t="n">
        <v>46027</v>
      </c>
      <c r="D6" t="inlineStr">
        <is>
          <t>Prueba 6</t>
        </is>
      </c>
      <c r="E6">
        <f>IF(AND(A6&gt;=1,A6&lt;=100),"Número OK","Número fuera")</f>
        <v/>
      </c>
      <c r="F6">
        <f>B6&amp;"-"&amp;TEXT(C6,"yyyymmdd")</f>
        <v/>
      </c>
    </row>
    <row r="7">
      <c r="A7" t="n">
        <v>7</v>
      </c>
      <c r="B7" t="inlineStr">
        <is>
          <t>Soporte</t>
        </is>
      </c>
      <c r="C7" s="4" t="n">
        <v>46028</v>
      </c>
      <c r="D7" t="inlineStr">
        <is>
          <t>Prueba 7</t>
        </is>
      </c>
      <c r="E7">
        <f>IF(AND(A7&gt;=1,A7&lt;=100),"Número OK","Número fuera")</f>
        <v/>
      </c>
      <c r="F7">
        <f>B7&amp;"-"&amp;TEXT(C7,"yyyymmdd")</f>
        <v/>
      </c>
    </row>
    <row r="8">
      <c r="A8" t="n">
        <v>8</v>
      </c>
      <c r="B8" t="inlineStr">
        <is>
          <t>Finanzas</t>
        </is>
      </c>
      <c r="C8" s="4" t="n">
        <v>46029</v>
      </c>
      <c r="D8" t="inlineStr">
        <is>
          <t>Prueba 8</t>
        </is>
      </c>
      <c r="E8">
        <f>IF(AND(A8&gt;=1,A8&lt;=100),"Número OK","Número fuera")</f>
        <v/>
      </c>
      <c r="F8">
        <f>B8&amp;"-"&amp;TEXT(C8,"yyyymmdd")</f>
        <v/>
      </c>
    </row>
    <row r="9">
      <c r="A9" t="n">
        <v>9</v>
      </c>
      <c r="B9" t="inlineStr">
        <is>
          <t>Operaciones</t>
        </is>
      </c>
      <c r="C9" s="4" t="n">
        <v>46030</v>
      </c>
      <c r="D9" t="inlineStr">
        <is>
          <t>Prueba 9</t>
        </is>
      </c>
      <c r="E9">
        <f>IF(AND(A9&gt;=1,A9&lt;=100),"Número OK","Número fuera")</f>
        <v/>
      </c>
      <c r="F9">
        <f>B9&amp;"-"&amp;TEXT(C9,"yyyymmdd")</f>
        <v/>
      </c>
    </row>
    <row r="10">
      <c r="A10" t="n">
        <v>10</v>
      </c>
      <c r="B10" t="inlineStr">
        <is>
          <t>Ventas</t>
        </is>
      </c>
      <c r="C10" s="4" t="n">
        <v>46031</v>
      </c>
      <c r="D10" t="inlineStr">
        <is>
          <t>Prueba 10</t>
        </is>
      </c>
      <c r="E10">
        <f>IF(AND(A10&gt;=1,A10&lt;=100),"Número OK","Número fuera")</f>
        <v/>
      </c>
      <c r="F10">
        <f>B10&amp;"-"&amp;TEXT(C10,"yyyymmdd")</f>
        <v/>
      </c>
    </row>
    <row r="11">
      <c r="A11" t="n">
        <v>11</v>
      </c>
      <c r="B11" t="inlineStr">
        <is>
          <t>Soporte</t>
        </is>
      </c>
      <c r="C11" s="4" t="n">
        <v>46032</v>
      </c>
      <c r="D11" t="inlineStr">
        <is>
          <t>Prueba 11</t>
        </is>
      </c>
      <c r="E11">
        <f>IF(AND(A11&gt;=1,A11&lt;=100),"Número OK","Número fuera")</f>
        <v/>
      </c>
      <c r="F11">
        <f>B11&amp;"-"&amp;TEXT(C11,"yyyymmdd")</f>
        <v/>
      </c>
    </row>
    <row r="12">
      <c r="A12" t="n">
        <v>12</v>
      </c>
      <c r="B12" t="inlineStr">
        <is>
          <t>Finanzas</t>
        </is>
      </c>
      <c r="C12" s="4" t="n">
        <v>46033</v>
      </c>
      <c r="D12" t="inlineStr">
        <is>
          <t>Prueba 12</t>
        </is>
      </c>
      <c r="E12">
        <f>IF(AND(A12&gt;=1,A12&lt;=100),"Número OK","Número fuera")</f>
        <v/>
      </c>
      <c r="F12">
        <f>B12&amp;"-"&amp;TEXT(C12,"yyyymmdd")</f>
        <v/>
      </c>
    </row>
    <row r="13">
      <c r="A13" t="n">
        <v>13</v>
      </c>
      <c r="B13" t="inlineStr">
        <is>
          <t>Operaciones</t>
        </is>
      </c>
      <c r="C13" s="4" t="n">
        <v>46034</v>
      </c>
      <c r="D13" t="inlineStr">
        <is>
          <t>Prueba 13</t>
        </is>
      </c>
      <c r="E13">
        <f>IF(AND(A13&gt;=1,A13&lt;=100),"Número OK","Número fuera")</f>
        <v/>
      </c>
      <c r="F13">
        <f>B13&amp;"-"&amp;TEXT(C13,"yyyymmdd")</f>
        <v/>
      </c>
    </row>
    <row r="14">
      <c r="A14" t="n">
        <v>14</v>
      </c>
      <c r="B14" t="inlineStr">
        <is>
          <t>Ventas</t>
        </is>
      </c>
      <c r="C14" s="4" t="n">
        <v>46035</v>
      </c>
      <c r="D14" t="inlineStr">
        <is>
          <t>Prueba 14</t>
        </is>
      </c>
      <c r="E14">
        <f>IF(AND(A14&gt;=1,A14&lt;=100),"Número OK","Número fuera")</f>
        <v/>
      </c>
      <c r="F14">
        <f>B14&amp;"-"&amp;TEXT(C14,"yyyymmdd")</f>
        <v/>
      </c>
    </row>
    <row r="15">
      <c r="A15" t="n">
        <v>15</v>
      </c>
      <c r="B15" t="inlineStr">
        <is>
          <t>Soporte</t>
        </is>
      </c>
      <c r="C15" s="4" t="n">
        <v>46036</v>
      </c>
      <c r="D15" t="inlineStr">
        <is>
          <t>Prueba 15</t>
        </is>
      </c>
      <c r="E15">
        <f>IF(AND(A15&gt;=1,A15&lt;=100),"Número OK","Número fuera")</f>
        <v/>
      </c>
      <c r="F15">
        <f>B15&amp;"-"&amp;TEXT(C15,"yyyymmdd")</f>
        <v/>
      </c>
    </row>
    <row r="16">
      <c r="A16" t="n">
        <v>16</v>
      </c>
      <c r="B16" t="inlineStr">
        <is>
          <t>Finanzas</t>
        </is>
      </c>
      <c r="C16" s="4" t="n">
        <v>46037</v>
      </c>
      <c r="D16" t="inlineStr">
        <is>
          <t>Prueba 16</t>
        </is>
      </c>
      <c r="E16">
        <f>IF(AND(A16&gt;=1,A16&lt;=100),"Número OK","Número fuera")</f>
        <v/>
      </c>
      <c r="F16">
        <f>B16&amp;"-"&amp;TEXT(C16,"yyyymmdd")</f>
        <v/>
      </c>
    </row>
    <row r="17">
      <c r="A17" t="n">
        <v>17</v>
      </c>
      <c r="B17" t="inlineStr">
        <is>
          <t>Operaciones</t>
        </is>
      </c>
      <c r="C17" s="4" t="n">
        <v>46038</v>
      </c>
      <c r="D17" t="inlineStr">
        <is>
          <t>Prueba 17</t>
        </is>
      </c>
      <c r="E17">
        <f>IF(AND(A17&gt;=1,A17&lt;=100),"Número OK","Número fuera")</f>
        <v/>
      </c>
      <c r="F17">
        <f>B17&amp;"-"&amp;TEXT(C17,"yyyymmdd")</f>
        <v/>
      </c>
    </row>
    <row r="18">
      <c r="A18" t="n">
        <v>18</v>
      </c>
      <c r="B18" t="inlineStr">
        <is>
          <t>Ventas</t>
        </is>
      </c>
      <c r="C18" s="4" t="n">
        <v>46039</v>
      </c>
      <c r="D18" t="inlineStr">
        <is>
          <t>Prueba 18</t>
        </is>
      </c>
      <c r="E18">
        <f>IF(AND(A18&gt;=1,A18&lt;=100),"Número OK","Número fuera")</f>
        <v/>
      </c>
      <c r="F18">
        <f>B18&amp;"-"&amp;TEXT(C18,"yyyymmdd")</f>
        <v/>
      </c>
    </row>
    <row r="19">
      <c r="A19" t="n">
        <v>19</v>
      </c>
      <c r="B19" t="inlineStr">
        <is>
          <t>Soporte</t>
        </is>
      </c>
      <c r="C19" s="4" t="n">
        <v>46040</v>
      </c>
      <c r="D19" t="inlineStr">
        <is>
          <t>Prueba 19</t>
        </is>
      </c>
      <c r="E19">
        <f>IF(AND(A19&gt;=1,A19&lt;=100),"Número OK","Número fuera")</f>
        <v/>
      </c>
      <c r="F19">
        <f>B19&amp;"-"&amp;TEXT(C19,"yyyymmdd")</f>
        <v/>
      </c>
    </row>
    <row r="20">
      <c r="A20" t="n">
        <v>20</v>
      </c>
      <c r="B20" t="inlineStr">
        <is>
          <t>Finanzas</t>
        </is>
      </c>
      <c r="C20" s="4" t="n">
        <v>46041</v>
      </c>
      <c r="D20" t="inlineStr">
        <is>
          <t>Prueba 20</t>
        </is>
      </c>
      <c r="E20">
        <f>IF(AND(A20&gt;=1,A20&lt;=100),"Número OK","Número fuera")</f>
        <v/>
      </c>
      <c r="F20">
        <f>B20&amp;"-"&amp;TEXT(C20,"yyyymmdd")</f>
        <v/>
      </c>
    </row>
    <row r="21">
      <c r="A21" t="n">
        <v>21</v>
      </c>
      <c r="B21" t="inlineStr">
        <is>
          <t>Operaciones</t>
        </is>
      </c>
      <c r="C21" s="4" t="n">
        <v>46042</v>
      </c>
      <c r="D21" t="inlineStr">
        <is>
          <t>Prueba 21</t>
        </is>
      </c>
      <c r="E21">
        <f>IF(AND(A21&gt;=1,A21&lt;=100),"Número OK","Número fuera")</f>
        <v/>
      </c>
      <c r="F21">
        <f>B21&amp;"-"&amp;TEXT(C21,"yyyymmdd")</f>
        <v/>
      </c>
    </row>
    <row r="22">
      <c r="A22" t="n">
        <v>22</v>
      </c>
      <c r="B22" t="inlineStr">
        <is>
          <t>Ventas</t>
        </is>
      </c>
      <c r="C22" s="4" t="n">
        <v>46043</v>
      </c>
      <c r="D22" t="inlineStr">
        <is>
          <t>Prueba 22</t>
        </is>
      </c>
      <c r="E22">
        <f>IF(AND(A22&gt;=1,A22&lt;=100),"Número OK","Número fuera")</f>
        <v/>
      </c>
      <c r="F22">
        <f>B22&amp;"-"&amp;TEXT(C22,"yyyymmdd")</f>
        <v/>
      </c>
    </row>
    <row r="23">
      <c r="A23" t="n">
        <v>23</v>
      </c>
      <c r="B23" t="inlineStr">
        <is>
          <t>Soporte</t>
        </is>
      </c>
      <c r="C23" s="4" t="n">
        <v>46044</v>
      </c>
      <c r="D23" t="inlineStr">
        <is>
          <t>Prueba 23</t>
        </is>
      </c>
      <c r="E23">
        <f>IF(AND(A23&gt;=1,A23&lt;=100),"Número OK","Número fuera")</f>
        <v/>
      </c>
      <c r="F23">
        <f>B23&amp;"-"&amp;TEXT(C23,"yyyymmdd")</f>
        <v/>
      </c>
    </row>
    <row r="24">
      <c r="A24" t="n">
        <v>24</v>
      </c>
      <c r="B24" t="inlineStr">
        <is>
          <t>Finanzas</t>
        </is>
      </c>
      <c r="C24" s="4" t="n">
        <v>46045</v>
      </c>
      <c r="D24" t="inlineStr">
        <is>
          <t>Prueba 24</t>
        </is>
      </c>
      <c r="E24">
        <f>IF(AND(A24&gt;=1,A24&lt;=100),"Número OK","Número fuera")</f>
        <v/>
      </c>
      <c r="F24">
        <f>B24&amp;"-"&amp;TEXT(C24,"yyyymmdd")</f>
        <v/>
      </c>
    </row>
    <row r="25">
      <c r="A25" t="n">
        <v>25</v>
      </c>
      <c r="B25" t="inlineStr">
        <is>
          <t>Operaciones</t>
        </is>
      </c>
      <c r="C25" s="4" t="n">
        <v>46046</v>
      </c>
      <c r="D25" t="inlineStr">
        <is>
          <t>Prueba 25</t>
        </is>
      </c>
      <c r="E25">
        <f>IF(AND(A25&gt;=1,A25&lt;=100),"Número OK","Número fuera")</f>
        <v/>
      </c>
      <c r="F25">
        <f>B25&amp;"-"&amp;TEXT(C25,"yyyymmdd")</f>
        <v/>
      </c>
    </row>
    <row r="26">
      <c r="A26" t="n">
        <v>26</v>
      </c>
      <c r="B26" t="inlineStr">
        <is>
          <t>Ventas</t>
        </is>
      </c>
      <c r="C26" s="4" t="n">
        <v>46047</v>
      </c>
      <c r="D26" t="inlineStr">
        <is>
          <t>Prueba 26</t>
        </is>
      </c>
      <c r="E26">
        <f>IF(AND(A26&gt;=1,A26&lt;=100),"Número OK","Número fuera")</f>
        <v/>
      </c>
      <c r="F26">
        <f>B26&amp;"-"&amp;TEXT(C26,"yyyymmdd")</f>
        <v/>
      </c>
    </row>
    <row r="27">
      <c r="A27" t="n">
        <v>27</v>
      </c>
      <c r="B27" t="inlineStr">
        <is>
          <t>Soporte</t>
        </is>
      </c>
      <c r="C27" s="4" t="n">
        <v>46048</v>
      </c>
      <c r="D27" t="inlineStr">
        <is>
          <t>Prueba 27</t>
        </is>
      </c>
      <c r="E27">
        <f>IF(AND(A27&gt;=1,A27&lt;=100),"Número OK","Número fuera")</f>
        <v/>
      </c>
      <c r="F27">
        <f>B27&amp;"-"&amp;TEXT(C27,"yyyymmdd")</f>
        <v/>
      </c>
    </row>
    <row r="28">
      <c r="A28" t="n">
        <v>28</v>
      </c>
      <c r="B28" t="inlineStr">
        <is>
          <t>Finanzas</t>
        </is>
      </c>
      <c r="C28" s="4" t="n">
        <v>46049</v>
      </c>
      <c r="D28" t="inlineStr">
        <is>
          <t>Prueba 28</t>
        </is>
      </c>
      <c r="E28">
        <f>IF(AND(A28&gt;=1,A28&lt;=100),"Número OK","Número fuera")</f>
        <v/>
      </c>
      <c r="F28">
        <f>B28&amp;"-"&amp;TEXT(C28,"yyyymmdd")</f>
        <v/>
      </c>
    </row>
    <row r="29">
      <c r="A29" t="n">
        <v>29</v>
      </c>
      <c r="B29" t="inlineStr">
        <is>
          <t>Operaciones</t>
        </is>
      </c>
      <c r="C29" s="4" t="n">
        <v>46050</v>
      </c>
      <c r="D29" t="inlineStr">
        <is>
          <t>Prueba 29</t>
        </is>
      </c>
      <c r="E29">
        <f>IF(AND(A29&gt;=1,A29&lt;=100),"Número OK","Número fuera")</f>
        <v/>
      </c>
      <c r="F29">
        <f>B29&amp;"-"&amp;TEXT(C29,"yyyymmdd")</f>
        <v/>
      </c>
    </row>
    <row r="30">
      <c r="A30" t="n">
        <v>30</v>
      </c>
      <c r="B30" t="inlineStr">
        <is>
          <t>Ventas</t>
        </is>
      </c>
      <c r="C30" s="4" t="n">
        <v>46051</v>
      </c>
      <c r="D30" t="inlineStr">
        <is>
          <t>Prueba 30</t>
        </is>
      </c>
      <c r="E30">
        <f>IF(AND(A30&gt;=1,A30&lt;=100),"Número OK","Número fuera")</f>
        <v/>
      </c>
      <c r="F30">
        <f>B30&amp;"-"&amp;TEXT(C30,"yyyymmdd")</f>
        <v/>
      </c>
    </row>
    <row r="31">
      <c r="A31" t="n">
        <v>31</v>
      </c>
      <c r="B31" t="inlineStr">
        <is>
          <t>Soporte</t>
        </is>
      </c>
      <c r="C31" s="4" t="n">
        <v>46052</v>
      </c>
      <c r="D31" t="inlineStr">
        <is>
          <t>Prueba 31</t>
        </is>
      </c>
      <c r="E31">
        <f>IF(AND(A31&gt;=1,A31&lt;=100),"Número OK","Número fuera")</f>
        <v/>
      </c>
      <c r="F31">
        <f>B31&amp;"-"&amp;TEXT(C31,"yyyymmdd")</f>
        <v/>
      </c>
    </row>
    <row r="32">
      <c r="A32" t="n">
        <v>32</v>
      </c>
      <c r="B32" t="inlineStr">
        <is>
          <t>Finanzas</t>
        </is>
      </c>
      <c r="C32" s="4" t="n">
        <v>46053</v>
      </c>
      <c r="D32" t="inlineStr">
        <is>
          <t>Prueba 32</t>
        </is>
      </c>
      <c r="E32">
        <f>IF(AND(A32&gt;=1,A32&lt;=100),"Número OK","Número fuera")</f>
        <v/>
      </c>
      <c r="F32">
        <f>B32&amp;"-"&amp;TEXT(C32,"yyyymmdd")</f>
        <v/>
      </c>
    </row>
    <row r="33">
      <c r="A33" t="n">
        <v>33</v>
      </c>
      <c r="B33" t="inlineStr">
        <is>
          <t>Operaciones</t>
        </is>
      </c>
      <c r="C33" s="4" t="n">
        <v>46054</v>
      </c>
      <c r="D33" t="inlineStr">
        <is>
          <t>Prueba 33</t>
        </is>
      </c>
      <c r="E33">
        <f>IF(AND(A33&gt;=1,A33&lt;=100),"Número OK","Número fuera")</f>
        <v/>
      </c>
      <c r="F33">
        <f>B33&amp;"-"&amp;TEXT(C33,"yyyymmdd")</f>
        <v/>
      </c>
    </row>
    <row r="34">
      <c r="A34" t="n">
        <v>34</v>
      </c>
      <c r="B34" t="inlineStr">
        <is>
          <t>Ventas</t>
        </is>
      </c>
      <c r="C34" s="4" t="n">
        <v>46055</v>
      </c>
      <c r="D34" t="inlineStr">
        <is>
          <t>Prueba 34</t>
        </is>
      </c>
      <c r="E34">
        <f>IF(AND(A34&gt;=1,A34&lt;=100),"Número OK","Número fuera")</f>
        <v/>
      </c>
      <c r="F34">
        <f>B34&amp;"-"&amp;TEXT(C34,"yyyymmdd")</f>
        <v/>
      </c>
    </row>
    <row r="35">
      <c r="A35" t="n">
        <v>35</v>
      </c>
      <c r="B35" t="inlineStr">
        <is>
          <t>Soporte</t>
        </is>
      </c>
      <c r="C35" s="4" t="n">
        <v>46056</v>
      </c>
      <c r="D35" t="inlineStr">
        <is>
          <t>Prueba 35</t>
        </is>
      </c>
      <c r="E35">
        <f>IF(AND(A35&gt;=1,A35&lt;=100),"Número OK","Número fuera")</f>
        <v/>
      </c>
      <c r="F35">
        <f>B35&amp;"-"&amp;TEXT(C35,"yyyymmdd")</f>
        <v/>
      </c>
    </row>
    <row r="36">
      <c r="A36" t="n">
        <v>36</v>
      </c>
      <c r="B36" t="inlineStr">
        <is>
          <t>Finanzas</t>
        </is>
      </c>
      <c r="C36" s="4" t="n">
        <v>46057</v>
      </c>
      <c r="D36" t="inlineStr">
        <is>
          <t>Prueba 36</t>
        </is>
      </c>
      <c r="E36">
        <f>IF(AND(A36&gt;=1,A36&lt;=100),"Número OK","Número fuera")</f>
        <v/>
      </c>
      <c r="F36">
        <f>B36&amp;"-"&amp;TEXT(C36,"yyyymmdd")</f>
        <v/>
      </c>
    </row>
    <row r="37">
      <c r="A37" t="n">
        <v>37</v>
      </c>
      <c r="B37" t="inlineStr">
        <is>
          <t>Operaciones</t>
        </is>
      </c>
      <c r="C37" s="4" t="n">
        <v>46058</v>
      </c>
      <c r="D37" t="inlineStr">
        <is>
          <t>Prueba 37</t>
        </is>
      </c>
      <c r="E37">
        <f>IF(AND(A37&gt;=1,A37&lt;=100),"Número OK","Número fuera")</f>
        <v/>
      </c>
      <c r="F37">
        <f>B37&amp;"-"&amp;TEXT(C37,"yyyymmdd")</f>
        <v/>
      </c>
    </row>
    <row r="38">
      <c r="A38" t="n">
        <v>38</v>
      </c>
      <c r="B38" t="inlineStr">
        <is>
          <t>Ventas</t>
        </is>
      </c>
      <c r="C38" s="4" t="n">
        <v>46059</v>
      </c>
      <c r="D38" t="inlineStr">
        <is>
          <t>Prueba 38</t>
        </is>
      </c>
      <c r="E38">
        <f>IF(AND(A38&gt;=1,A38&lt;=100),"Número OK","Número fuera")</f>
        <v/>
      </c>
      <c r="F38">
        <f>B38&amp;"-"&amp;TEXT(C38,"yyyymmdd")</f>
        <v/>
      </c>
    </row>
    <row r="39">
      <c r="A39" t="n">
        <v>39</v>
      </c>
      <c r="B39" t="inlineStr">
        <is>
          <t>Soporte</t>
        </is>
      </c>
      <c r="C39" s="4" t="n">
        <v>46060</v>
      </c>
      <c r="D39" t="inlineStr">
        <is>
          <t>Prueba 39</t>
        </is>
      </c>
      <c r="E39">
        <f>IF(AND(A39&gt;=1,A39&lt;=100),"Número OK","Número fuera")</f>
        <v/>
      </c>
      <c r="F39">
        <f>B39&amp;"-"&amp;TEXT(C39,"yyyymmdd")</f>
        <v/>
      </c>
    </row>
    <row r="40">
      <c r="A40" t="n">
        <v>40</v>
      </c>
      <c r="B40" t="inlineStr">
        <is>
          <t>Finanzas</t>
        </is>
      </c>
      <c r="C40" s="4" t="n">
        <v>46061</v>
      </c>
      <c r="D40" t="inlineStr">
        <is>
          <t>Prueba 40</t>
        </is>
      </c>
      <c r="E40">
        <f>IF(AND(A40&gt;=1,A40&lt;=100),"Número OK","Número fuera")</f>
        <v/>
      </c>
      <c r="F40">
        <f>B40&amp;"-"&amp;TEXT(C40,"yyyymmdd")</f>
        <v/>
      </c>
    </row>
    <row r="41">
      <c r="A41" t="n">
        <v>41</v>
      </c>
      <c r="B41" t="inlineStr">
        <is>
          <t>Operaciones</t>
        </is>
      </c>
      <c r="C41" s="4" t="n">
        <v>46062</v>
      </c>
      <c r="D41" t="inlineStr">
        <is>
          <t>Prueba 41</t>
        </is>
      </c>
      <c r="E41">
        <f>IF(AND(A41&gt;=1,A41&lt;=100),"Número OK","Número fuera")</f>
        <v/>
      </c>
      <c r="F41">
        <f>B41&amp;"-"&amp;TEXT(C41,"yyyymmdd")</f>
        <v/>
      </c>
    </row>
    <row r="42">
      <c r="A42" t="n">
        <v>42</v>
      </c>
      <c r="B42" t="inlineStr">
        <is>
          <t>Ventas</t>
        </is>
      </c>
      <c r="C42" s="4" t="n">
        <v>46063</v>
      </c>
      <c r="D42" t="inlineStr">
        <is>
          <t>Prueba 42</t>
        </is>
      </c>
      <c r="E42">
        <f>IF(AND(A42&gt;=1,A42&lt;=100),"Número OK","Número fuera")</f>
        <v/>
      </c>
      <c r="F42">
        <f>B42&amp;"-"&amp;TEXT(C42,"yyyymmdd")</f>
        <v/>
      </c>
    </row>
    <row r="43">
      <c r="A43" t="n">
        <v>43</v>
      </c>
      <c r="B43" t="inlineStr">
        <is>
          <t>Soporte</t>
        </is>
      </c>
      <c r="C43" s="4" t="n">
        <v>46064</v>
      </c>
      <c r="D43" t="inlineStr">
        <is>
          <t>Prueba 43</t>
        </is>
      </c>
      <c r="E43">
        <f>IF(AND(A43&gt;=1,A43&lt;=100),"Número OK","Número fuera")</f>
        <v/>
      </c>
      <c r="F43">
        <f>B43&amp;"-"&amp;TEXT(C43,"yyyymmdd")</f>
        <v/>
      </c>
    </row>
    <row r="44">
      <c r="A44" t="n">
        <v>44</v>
      </c>
      <c r="B44" t="inlineStr">
        <is>
          <t>Finanzas</t>
        </is>
      </c>
      <c r="C44" s="4" t="n">
        <v>46065</v>
      </c>
      <c r="D44" t="inlineStr">
        <is>
          <t>Prueba 44</t>
        </is>
      </c>
      <c r="E44">
        <f>IF(AND(A44&gt;=1,A44&lt;=100),"Número OK","Número fuera")</f>
        <v/>
      </c>
      <c r="F44">
        <f>B44&amp;"-"&amp;TEXT(C44,"yyyymmdd")</f>
        <v/>
      </c>
    </row>
    <row r="45">
      <c r="A45" t="n">
        <v>45</v>
      </c>
      <c r="B45" t="inlineStr">
        <is>
          <t>Operaciones</t>
        </is>
      </c>
      <c r="C45" s="4" t="n">
        <v>46066</v>
      </c>
      <c r="D45" t="inlineStr">
        <is>
          <t>Prueba 45</t>
        </is>
      </c>
      <c r="E45">
        <f>IF(AND(A45&gt;=1,A45&lt;=100),"Número OK","Número fuera")</f>
        <v/>
      </c>
      <c r="F45">
        <f>B45&amp;"-"&amp;TEXT(C45,"yyyymmdd")</f>
        <v/>
      </c>
    </row>
    <row r="46">
      <c r="A46" t="n">
        <v>46</v>
      </c>
      <c r="B46" t="inlineStr">
        <is>
          <t>Ventas</t>
        </is>
      </c>
      <c r="C46" s="4" t="n">
        <v>46067</v>
      </c>
      <c r="D46" t="inlineStr">
        <is>
          <t>Prueba 46</t>
        </is>
      </c>
      <c r="E46">
        <f>IF(AND(A46&gt;=1,A46&lt;=100),"Número OK","Número fuera")</f>
        <v/>
      </c>
      <c r="F46">
        <f>B46&amp;"-"&amp;TEXT(C46,"yyyymmdd")</f>
        <v/>
      </c>
    </row>
    <row r="47">
      <c r="A47" t="n">
        <v>47</v>
      </c>
      <c r="B47" t="inlineStr">
        <is>
          <t>Soporte</t>
        </is>
      </c>
      <c r="C47" s="4" t="n">
        <v>46068</v>
      </c>
      <c r="D47" t="inlineStr">
        <is>
          <t>Prueba 47</t>
        </is>
      </c>
      <c r="E47">
        <f>IF(AND(A47&gt;=1,A47&lt;=100),"Número OK","Número fuera")</f>
        <v/>
      </c>
      <c r="F47">
        <f>B47&amp;"-"&amp;TEXT(C47,"yyyymmdd")</f>
        <v/>
      </c>
    </row>
    <row r="48">
      <c r="A48" t="n">
        <v>48</v>
      </c>
      <c r="B48" t="inlineStr">
        <is>
          <t>Finanzas</t>
        </is>
      </c>
      <c r="C48" s="4" t="n">
        <v>46069</v>
      </c>
      <c r="D48" t="inlineStr">
        <is>
          <t>Prueba 48</t>
        </is>
      </c>
      <c r="E48">
        <f>IF(AND(A48&gt;=1,A48&lt;=100),"Número OK","Número fuera")</f>
        <v/>
      </c>
      <c r="F48">
        <f>B48&amp;"-"&amp;TEXT(C48,"yyyymmdd")</f>
        <v/>
      </c>
    </row>
    <row r="49">
      <c r="A49" t="n">
        <v>49</v>
      </c>
      <c r="B49" t="inlineStr">
        <is>
          <t>Operaciones</t>
        </is>
      </c>
      <c r="C49" s="4" t="n">
        <v>46070</v>
      </c>
      <c r="D49" t="inlineStr">
        <is>
          <t>Prueba 49</t>
        </is>
      </c>
      <c r="E49">
        <f>IF(AND(A49&gt;=1,A49&lt;=100),"Número OK","Número fuera")</f>
        <v/>
      </c>
      <c r="F49">
        <f>B49&amp;"-"&amp;TEXT(C49,"yyyymmdd")</f>
        <v/>
      </c>
    </row>
    <row r="50">
      <c r="A50" t="n">
        <v>50</v>
      </c>
      <c r="B50" t="inlineStr">
        <is>
          <t>Ventas</t>
        </is>
      </c>
      <c r="C50" s="4" t="n">
        <v>46071</v>
      </c>
      <c r="D50" t="inlineStr">
        <is>
          <t>Prueba 50</t>
        </is>
      </c>
      <c r="E50">
        <f>IF(AND(A50&gt;=1,A50&lt;=100),"Número OK","Número fuera")</f>
        <v/>
      </c>
      <c r="F50">
        <f>B50&amp;"-"&amp;TEXT(C50,"yyyymmdd")</f>
        <v/>
      </c>
    </row>
    <row r="51">
      <c r="A51" t="n">
        <v>51</v>
      </c>
      <c r="B51" t="inlineStr">
        <is>
          <t>Soporte</t>
        </is>
      </c>
      <c r="C51" s="4" t="n">
        <v>46072</v>
      </c>
      <c r="D51" t="inlineStr">
        <is>
          <t>Prueba 51</t>
        </is>
      </c>
      <c r="E51">
        <f>IF(AND(A51&gt;=1,A51&lt;=100),"Número OK","Número fuera")</f>
        <v/>
      </c>
      <c r="F51">
        <f>B51&amp;"-"&amp;TEXT(C51,"yyyymmdd")</f>
        <v/>
      </c>
    </row>
  </sheetData>
  <autoFilter ref="A1:F51"/>
  <dataValidations count="4">
    <dataValidation sqref="A2:A51" showDropDown="0" showInputMessage="0" showErrorMessage="1" allowBlank="0" type="whole" operator="between">
      <formula1>1</formula1>
      <formula2>100</formula2>
    </dataValidation>
    <dataValidation sqref="B2:B51" showDropDown="0" showInputMessage="0" showErrorMessage="1" allowBlank="0" type="list">
      <formula1>"Ventas,Soporte,Finanzas,Operaciones"</formula1>
    </dataValidation>
    <dataValidation sqref="C2:C51" showDropDown="0" showInputMessage="0" showErrorMessage="1" allowBlank="1" type="date" operator="between">
      <formula1>DATE(2026,1,1)</formula1>
      <formula2>DATE(2026,12,31)</formula2>
    </dataValidation>
    <dataValidation sqref="D2:D51" showDropDown="0" showInputMessage="0" showErrorMessage="1" allowBlank="1" type="textLength" operator="lessThanOrEqual">
      <formula1>30</formula1>
    </dataValidation>
  </dataValidation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C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</cols>
  <sheetData>
    <row r="1">
      <c r="A1" s="1" t="inlineStr">
        <is>
          <t>Métrica</t>
        </is>
      </c>
      <c r="B1" s="1" t="inlineStr">
        <is>
          <t>Fórmula</t>
        </is>
      </c>
      <c r="C1" s="1" t="inlineStr">
        <is>
          <t>Nota</t>
        </is>
      </c>
    </row>
    <row r="2">
      <c r="A2" t="inlineStr">
        <is>
          <t>UNIQUE</t>
        </is>
      </c>
      <c r="B2">
        <f>UNIQUE(Datos!D2:D51)</f>
        <v/>
      </c>
      <c r="C2" t="inlineStr">
        <is>
          <t>Matriz dinámica: valores únicos</t>
        </is>
      </c>
    </row>
    <row r="3">
      <c r="A3" t="inlineStr">
        <is>
          <t>SORT</t>
        </is>
      </c>
      <c r="B3">
        <f>SORT(Datos!B2:B51)</f>
        <v/>
      </c>
      <c r="C3" t="inlineStr">
        <is>
          <t>Matriz dinámica: ordenación</t>
        </is>
      </c>
    </row>
    <row r="4">
      <c r="A4" t="inlineStr">
        <is>
          <t>FILTER</t>
        </is>
      </c>
      <c r="B4">
        <f>FILTER(Datos!A2:K51,Datos!D2:D51="Ventas")</f>
        <v/>
      </c>
      <c r="C4" t="inlineStr">
        <is>
          <t>Matriz dinámica: filas filtradas</t>
        </is>
      </c>
    </row>
    <row r="5">
      <c r="A5" t="inlineStr">
        <is>
          <t>SEQUENCE</t>
        </is>
      </c>
      <c r="B5">
        <f>SEQUENCE(10,3,1,1)</f>
        <v/>
      </c>
      <c r="C5" t="inlineStr">
        <is>
          <t>Matriz dinámica: secuencia</t>
        </is>
      </c>
    </row>
    <row r="6">
      <c r="A6" t="inlineStr">
        <is>
          <t>TRANSPOSE</t>
        </is>
      </c>
      <c r="B6">
        <f>TRANSPOSE(Datos!B2:E6)</f>
        <v/>
      </c>
      <c r="C6" t="inlineStr">
        <is>
          <t>Matriz dinámica: transposición</t>
        </is>
      </c>
    </row>
    <row r="7">
      <c r="A7" t="inlineStr">
        <is>
          <t>SUMPRODUCT</t>
        </is>
      </c>
      <c r="B7">
        <f>SUMPRODUCT(Datos!F2:F51,Datos!G2:G51)</f>
        <v/>
      </c>
      <c r="C7" t="inlineStr">
        <is>
          <t>Agregación matricial</t>
        </is>
      </c>
    </row>
    <row r="8">
      <c r="A8" t="inlineStr">
        <is>
          <t>SUBTOTAL</t>
        </is>
      </c>
      <c r="B8">
        <f>SUBTOTAL(9,Calculos!C2:C51)</f>
        <v/>
      </c>
      <c r="C8" t="inlineStr">
        <is>
          <t>Subtotal</t>
        </is>
      </c>
    </row>
    <row r="9">
      <c r="A9" t="inlineStr">
        <is>
          <t>AGGREGATE</t>
        </is>
      </c>
      <c r="B9">
        <f>AGGREGATE(9,6,Calculos!C2:C51)</f>
        <v/>
      </c>
      <c r="C9" t="inlineStr">
        <is>
          <t>Agregado con opciones</t>
        </is>
      </c>
    </row>
    <row r="10">
      <c r="A10" t="inlineStr">
        <is>
          <t>LET</t>
        </is>
      </c>
      <c r="B10">
        <f>LET(x,Datos!F2:F51,y,Datos!G2:G51,SUMPRODUCT(x,y))</f>
        <v/>
      </c>
      <c r="C10" t="inlineStr">
        <is>
          <t>Variables locales</t>
        </is>
      </c>
    </row>
    <row r="11">
      <c r="A11" t="inlineStr">
        <is>
          <t>LAMBDA</t>
        </is>
      </c>
      <c r="B11">
        <f>LAMBDA(x,x*2)(5)</f>
        <v/>
      </c>
      <c r="C11" t="inlineStr">
        <is>
          <t>LAMBDA simple</t>
        </is>
      </c>
    </row>
    <row r="12">
      <c r="A12" t="inlineStr">
        <is>
          <t>XMATCH</t>
        </is>
      </c>
      <c r="B12">
        <f>XMATCH(Datos!A2,Datos!A2:A51,0)</f>
        <v/>
      </c>
      <c r="C12" t="inlineStr">
        <is>
          <t>Búsqueda moderna</t>
        </is>
      </c>
    </row>
    <row r="13">
      <c r="A13" t="inlineStr">
        <is>
          <t>XLOOKUP</t>
        </is>
      </c>
      <c r="B13">
        <f>XLOOKUP(Datos!A2,Datos!A2:A51,Datos!B2:B51,"No existe")</f>
        <v/>
      </c>
      <c r="C13" t="inlineStr">
        <is>
          <t>Búsqueda moderna</t>
        </is>
      </c>
    </row>
    <row r="14">
      <c r="A14" t="inlineStr">
        <is>
          <t>TEXTJOIN</t>
        </is>
      </c>
      <c r="B14">
        <f>TEXTJOIN(", ",TRUE,Datos!B2:B6)</f>
        <v/>
      </c>
      <c r="C14" t="inlineStr">
        <is>
          <t>Unión con delimitador</t>
        </is>
      </c>
    </row>
    <row r="15">
      <c r="A15" t="inlineStr">
        <is>
          <t>CONCAT rango</t>
        </is>
      </c>
      <c r="B15">
        <f>CONCAT(Datos!B2:B4)</f>
        <v/>
      </c>
      <c r="C15" t="inlineStr">
        <is>
          <t>Concatenación de rango</t>
        </is>
      </c>
    </row>
    <row r="16">
      <c r="A16" t="inlineStr">
        <is>
          <t>COUNTBLANK</t>
        </is>
      </c>
      <c r="B16">
        <f>COUNTBLANK(Datos!A2:A51)</f>
        <v/>
      </c>
      <c r="C16" t="inlineStr">
        <is>
          <t>Conteo de vacías</t>
        </is>
      </c>
    </row>
    <row r="17">
      <c r="A17" t="inlineStr">
        <is>
          <t>ISNUMBER</t>
        </is>
      </c>
      <c r="B17">
        <f>ISNUMBER(Datos!F2)</f>
        <v/>
      </c>
      <c r="C17" t="inlineStr">
        <is>
          <t>Función de información</t>
        </is>
      </c>
    </row>
    <row r="18">
      <c r="A18" t="inlineStr">
        <is>
          <t>ISBLANK</t>
        </is>
      </c>
      <c r="B18">
        <f>ISBLANK(Datos!L2)</f>
        <v/>
      </c>
      <c r="C18" t="inlineStr">
        <is>
          <t>Función de información</t>
        </is>
      </c>
    </row>
    <row r="19">
      <c r="A19" t="inlineStr">
        <is>
          <t>NA</t>
        </is>
      </c>
      <c r="B19">
        <f>IFERROR(1/0,NA())</f>
        <v/>
      </c>
      <c r="C19" t="inlineStr">
        <is>
          <t>Error controlado</t>
        </is>
      </c>
    </row>
  </sheetData>
  <autoFilter ref="A1:C19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2026-10-09T10:51:43Z</dcterms:created>
  <dcterms:modified xsi:type="dcterms:W3CDTF">2026-10-09T10:51:43Z</dcterms:modified>
</cp:coreProperties>
</file>